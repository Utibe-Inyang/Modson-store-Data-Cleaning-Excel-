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05" windowWidth="19875" windowHeight="7470" activeTab="2"/>
  </bookViews>
  <sheets>
    <sheet name="Sheet1" sheetId="1" r:id="rId1"/>
    <sheet name="Cleaned " sheetId="3" r:id="rId2"/>
    <sheet name="REPORT" sheetId="4" r:id="rId3"/>
  </sheets>
  <definedNames>
    <definedName name="_xlnm._FilterDatabase" localSheetId="1" hidden="1">'Cleaned '!$A$1:$S$192</definedName>
    <definedName name="_xlnm._FilterDatabase" localSheetId="0" hidden="1">Sheet1!$A$1:$O$194</definedName>
  </definedNames>
  <calcPr calcId="144525"/>
</workbook>
</file>

<file path=xl/calcChain.xml><?xml version="1.0" encoding="utf-8"?>
<calcChain xmlns="http://schemas.openxmlformats.org/spreadsheetml/2006/main">
  <c r="S3" i="3" l="1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2" i="3"/>
  <c r="I10" i="3"/>
  <c r="J10" i="3" s="1"/>
  <c r="I11" i="3"/>
  <c r="J11" i="3" s="1"/>
  <c r="I12" i="3"/>
  <c r="J12" i="3" s="1"/>
  <c r="I13" i="3"/>
  <c r="J13" i="3" s="1"/>
  <c r="I14" i="3"/>
  <c r="J14" i="3" s="1"/>
  <c r="I15" i="3"/>
  <c r="J15" i="3" s="1"/>
  <c r="I16" i="3"/>
  <c r="J16" i="3" s="1"/>
  <c r="I17" i="3"/>
  <c r="J17" i="3" s="1"/>
  <c r="I18" i="3"/>
  <c r="J18" i="3" s="1"/>
  <c r="I19" i="3"/>
  <c r="J19" i="3" s="1"/>
  <c r="I20" i="3"/>
  <c r="J20" i="3" s="1"/>
  <c r="I21" i="3"/>
  <c r="J21" i="3" s="1"/>
  <c r="I22" i="3"/>
  <c r="J22" i="3" s="1"/>
  <c r="I23" i="3"/>
  <c r="J23" i="3" s="1"/>
  <c r="I24" i="3"/>
  <c r="J24" i="3" s="1"/>
  <c r="I25" i="3"/>
  <c r="J25" i="3" s="1"/>
  <c r="I26" i="3"/>
  <c r="J26" i="3" s="1"/>
  <c r="I27" i="3"/>
  <c r="J27" i="3" s="1"/>
  <c r="I28" i="3"/>
  <c r="J28" i="3" s="1"/>
  <c r="I29" i="3"/>
  <c r="J29" i="3" s="1"/>
  <c r="I30" i="3"/>
  <c r="J30" i="3" s="1"/>
  <c r="I31" i="3"/>
  <c r="J31" i="3" s="1"/>
  <c r="I32" i="3"/>
  <c r="J32" i="3" s="1"/>
  <c r="I33" i="3"/>
  <c r="J33" i="3" s="1"/>
  <c r="I34" i="3"/>
  <c r="J34" i="3" s="1"/>
  <c r="I35" i="3"/>
  <c r="J35" i="3" s="1"/>
  <c r="I36" i="3"/>
  <c r="J36" i="3" s="1"/>
  <c r="I37" i="3"/>
  <c r="J37" i="3" s="1"/>
  <c r="I38" i="3"/>
  <c r="J38" i="3" s="1"/>
  <c r="I39" i="3"/>
  <c r="J39" i="3" s="1"/>
  <c r="I40" i="3"/>
  <c r="J40" i="3" s="1"/>
  <c r="I41" i="3"/>
  <c r="J41" i="3" s="1"/>
  <c r="I42" i="3"/>
  <c r="J42" i="3" s="1"/>
  <c r="I43" i="3"/>
  <c r="J43" i="3" s="1"/>
  <c r="I44" i="3"/>
  <c r="J44" i="3" s="1"/>
  <c r="I45" i="3"/>
  <c r="J45" i="3" s="1"/>
  <c r="I46" i="3"/>
  <c r="J46" i="3" s="1"/>
  <c r="I47" i="3"/>
  <c r="J47" i="3" s="1"/>
  <c r="I48" i="3"/>
  <c r="J48" i="3" s="1"/>
  <c r="I49" i="3"/>
  <c r="J49" i="3" s="1"/>
  <c r="I50" i="3"/>
  <c r="J50" i="3" s="1"/>
  <c r="I51" i="3"/>
  <c r="J51" i="3" s="1"/>
  <c r="I52" i="3"/>
  <c r="J52" i="3" s="1"/>
  <c r="I53" i="3"/>
  <c r="J53" i="3" s="1"/>
  <c r="I54" i="3"/>
  <c r="J54" i="3" s="1"/>
  <c r="I55" i="3"/>
  <c r="J55" i="3" s="1"/>
  <c r="I56" i="3"/>
  <c r="J56" i="3" s="1"/>
  <c r="I57" i="3"/>
  <c r="J57" i="3" s="1"/>
  <c r="I58" i="3"/>
  <c r="J58" i="3" s="1"/>
  <c r="I59" i="3"/>
  <c r="J59" i="3" s="1"/>
  <c r="I60" i="3"/>
  <c r="J60" i="3" s="1"/>
  <c r="I61" i="3"/>
  <c r="J61" i="3" s="1"/>
  <c r="I62" i="3"/>
  <c r="J62" i="3" s="1"/>
  <c r="I63" i="3"/>
  <c r="J63" i="3" s="1"/>
  <c r="I64" i="3"/>
  <c r="J64" i="3" s="1"/>
  <c r="I65" i="3"/>
  <c r="J65" i="3" s="1"/>
  <c r="I66" i="3"/>
  <c r="J66" i="3" s="1"/>
  <c r="I67" i="3"/>
  <c r="J67" i="3" s="1"/>
  <c r="I68" i="3"/>
  <c r="J68" i="3" s="1"/>
  <c r="I69" i="3"/>
  <c r="J69" i="3" s="1"/>
  <c r="I70" i="3"/>
  <c r="J70" i="3" s="1"/>
  <c r="I71" i="3"/>
  <c r="J71" i="3" s="1"/>
  <c r="I72" i="3"/>
  <c r="J72" i="3" s="1"/>
  <c r="I73" i="3"/>
  <c r="J73" i="3" s="1"/>
  <c r="I74" i="3"/>
  <c r="J74" i="3" s="1"/>
  <c r="I75" i="3"/>
  <c r="J75" i="3" s="1"/>
  <c r="I76" i="3"/>
  <c r="J76" i="3" s="1"/>
  <c r="I77" i="3"/>
  <c r="J77" i="3" s="1"/>
  <c r="I78" i="3"/>
  <c r="J78" i="3" s="1"/>
  <c r="I79" i="3"/>
  <c r="J79" i="3" s="1"/>
  <c r="I80" i="3"/>
  <c r="J80" i="3" s="1"/>
  <c r="I81" i="3"/>
  <c r="J81" i="3" s="1"/>
  <c r="I82" i="3"/>
  <c r="J82" i="3" s="1"/>
  <c r="I83" i="3"/>
  <c r="J83" i="3" s="1"/>
  <c r="I84" i="3"/>
  <c r="J84" i="3" s="1"/>
  <c r="I85" i="3"/>
  <c r="J85" i="3" s="1"/>
  <c r="I86" i="3"/>
  <c r="J86" i="3" s="1"/>
  <c r="I87" i="3"/>
  <c r="J87" i="3" s="1"/>
  <c r="I88" i="3"/>
  <c r="J88" i="3" s="1"/>
  <c r="I89" i="3"/>
  <c r="J89" i="3" s="1"/>
  <c r="I90" i="3"/>
  <c r="J90" i="3" s="1"/>
  <c r="I91" i="3"/>
  <c r="J91" i="3" s="1"/>
  <c r="I92" i="3"/>
  <c r="J92" i="3" s="1"/>
  <c r="I93" i="3"/>
  <c r="J93" i="3" s="1"/>
  <c r="I94" i="3"/>
  <c r="J94" i="3" s="1"/>
  <c r="I95" i="3"/>
  <c r="J95" i="3" s="1"/>
  <c r="I96" i="3"/>
  <c r="J96" i="3" s="1"/>
  <c r="I97" i="3"/>
  <c r="J97" i="3" s="1"/>
  <c r="I98" i="3"/>
  <c r="J98" i="3" s="1"/>
  <c r="I99" i="3"/>
  <c r="J99" i="3" s="1"/>
  <c r="I100" i="3"/>
  <c r="J100" i="3" s="1"/>
  <c r="I101" i="3"/>
  <c r="J101" i="3" s="1"/>
  <c r="I102" i="3"/>
  <c r="J102" i="3" s="1"/>
  <c r="I103" i="3"/>
  <c r="J103" i="3" s="1"/>
  <c r="I104" i="3"/>
  <c r="J104" i="3" s="1"/>
  <c r="I105" i="3"/>
  <c r="J105" i="3" s="1"/>
  <c r="I106" i="3"/>
  <c r="J106" i="3" s="1"/>
  <c r="I107" i="3"/>
  <c r="J107" i="3" s="1"/>
  <c r="I108" i="3"/>
  <c r="J108" i="3" s="1"/>
  <c r="I109" i="3"/>
  <c r="J109" i="3" s="1"/>
  <c r="I110" i="3"/>
  <c r="J110" i="3" s="1"/>
  <c r="I111" i="3"/>
  <c r="J111" i="3" s="1"/>
  <c r="I112" i="3"/>
  <c r="J112" i="3" s="1"/>
  <c r="I113" i="3"/>
  <c r="J113" i="3" s="1"/>
  <c r="I114" i="3"/>
  <c r="J114" i="3" s="1"/>
  <c r="I115" i="3"/>
  <c r="J115" i="3" s="1"/>
  <c r="I116" i="3"/>
  <c r="J116" i="3" s="1"/>
  <c r="I117" i="3"/>
  <c r="J117" i="3" s="1"/>
  <c r="I118" i="3"/>
  <c r="J118" i="3" s="1"/>
  <c r="I119" i="3"/>
  <c r="J119" i="3" s="1"/>
  <c r="I120" i="3"/>
  <c r="J120" i="3" s="1"/>
  <c r="I121" i="3"/>
  <c r="J121" i="3" s="1"/>
  <c r="I122" i="3"/>
  <c r="J122" i="3" s="1"/>
  <c r="I123" i="3"/>
  <c r="J123" i="3" s="1"/>
  <c r="I124" i="3"/>
  <c r="J124" i="3" s="1"/>
  <c r="I125" i="3"/>
  <c r="J125" i="3" s="1"/>
  <c r="I126" i="3"/>
  <c r="J126" i="3" s="1"/>
  <c r="I127" i="3"/>
  <c r="J127" i="3" s="1"/>
  <c r="I128" i="3"/>
  <c r="J128" i="3" s="1"/>
  <c r="I129" i="3"/>
  <c r="J129" i="3" s="1"/>
  <c r="I130" i="3"/>
  <c r="J130" i="3" s="1"/>
  <c r="I131" i="3"/>
  <c r="J131" i="3" s="1"/>
  <c r="I132" i="3"/>
  <c r="J132" i="3" s="1"/>
  <c r="I133" i="3"/>
  <c r="J133" i="3" s="1"/>
  <c r="I134" i="3"/>
  <c r="J134" i="3" s="1"/>
  <c r="I135" i="3"/>
  <c r="J135" i="3" s="1"/>
  <c r="I136" i="3"/>
  <c r="J136" i="3" s="1"/>
  <c r="I137" i="3"/>
  <c r="J137" i="3" s="1"/>
  <c r="I138" i="3"/>
  <c r="J138" i="3" s="1"/>
  <c r="I139" i="3"/>
  <c r="J139" i="3" s="1"/>
  <c r="I140" i="3"/>
  <c r="J140" i="3" s="1"/>
  <c r="I141" i="3"/>
  <c r="J141" i="3" s="1"/>
  <c r="I142" i="3"/>
  <c r="J142" i="3" s="1"/>
  <c r="I143" i="3"/>
  <c r="J143" i="3" s="1"/>
  <c r="I144" i="3"/>
  <c r="J144" i="3" s="1"/>
  <c r="I145" i="3"/>
  <c r="J145" i="3" s="1"/>
  <c r="I146" i="3"/>
  <c r="J146" i="3" s="1"/>
  <c r="I147" i="3"/>
  <c r="J147" i="3" s="1"/>
  <c r="I148" i="3"/>
  <c r="J148" i="3" s="1"/>
  <c r="I149" i="3"/>
  <c r="J149" i="3" s="1"/>
  <c r="I150" i="3"/>
  <c r="J150" i="3" s="1"/>
  <c r="I151" i="3"/>
  <c r="J151" i="3" s="1"/>
  <c r="I152" i="3"/>
  <c r="J152" i="3" s="1"/>
  <c r="I153" i="3"/>
  <c r="J153" i="3" s="1"/>
  <c r="I154" i="3"/>
  <c r="J154" i="3" s="1"/>
  <c r="I155" i="3"/>
  <c r="J155" i="3" s="1"/>
  <c r="I156" i="3"/>
  <c r="J156" i="3" s="1"/>
  <c r="I157" i="3"/>
  <c r="J157" i="3" s="1"/>
  <c r="I158" i="3"/>
  <c r="J158" i="3" s="1"/>
  <c r="I159" i="3"/>
  <c r="J159" i="3" s="1"/>
  <c r="I160" i="3"/>
  <c r="J160" i="3" s="1"/>
  <c r="I161" i="3"/>
  <c r="J161" i="3" s="1"/>
  <c r="I162" i="3"/>
  <c r="J162" i="3" s="1"/>
  <c r="I163" i="3"/>
  <c r="J163" i="3" s="1"/>
  <c r="I164" i="3"/>
  <c r="J164" i="3" s="1"/>
  <c r="I165" i="3"/>
  <c r="J165" i="3" s="1"/>
  <c r="I166" i="3"/>
  <c r="J166" i="3" s="1"/>
  <c r="I167" i="3"/>
  <c r="J167" i="3" s="1"/>
  <c r="I168" i="3"/>
  <c r="J168" i="3" s="1"/>
  <c r="I169" i="3"/>
  <c r="J169" i="3" s="1"/>
  <c r="I170" i="3"/>
  <c r="J170" i="3" s="1"/>
  <c r="I171" i="3"/>
  <c r="J171" i="3" s="1"/>
  <c r="I172" i="3"/>
  <c r="J172" i="3" s="1"/>
  <c r="I173" i="3"/>
  <c r="J173" i="3" s="1"/>
  <c r="I174" i="3"/>
  <c r="J174" i="3" s="1"/>
  <c r="I175" i="3"/>
  <c r="J175" i="3" s="1"/>
  <c r="I176" i="3"/>
  <c r="J176" i="3" s="1"/>
  <c r="I177" i="3"/>
  <c r="J177" i="3" s="1"/>
  <c r="I178" i="3"/>
  <c r="J178" i="3" s="1"/>
  <c r="I179" i="3"/>
  <c r="J179" i="3" s="1"/>
  <c r="I180" i="3"/>
  <c r="J180" i="3" s="1"/>
  <c r="I181" i="3"/>
  <c r="J181" i="3" s="1"/>
  <c r="I182" i="3"/>
  <c r="J182" i="3" s="1"/>
  <c r="I183" i="3"/>
  <c r="J183" i="3" s="1"/>
  <c r="I184" i="3"/>
  <c r="J184" i="3" s="1"/>
  <c r="I185" i="3"/>
  <c r="J185" i="3" s="1"/>
  <c r="I186" i="3"/>
  <c r="J186" i="3" s="1"/>
  <c r="I187" i="3"/>
  <c r="J187" i="3" s="1"/>
  <c r="I188" i="3"/>
  <c r="J188" i="3" s="1"/>
  <c r="I189" i="3"/>
  <c r="J189" i="3" s="1"/>
  <c r="I190" i="3"/>
  <c r="J190" i="3" s="1"/>
  <c r="I191" i="3"/>
  <c r="J191" i="3" s="1"/>
  <c r="I192" i="3"/>
  <c r="J192" i="3" s="1"/>
  <c r="I3" i="3"/>
  <c r="J3" i="3" s="1"/>
  <c r="I4" i="3"/>
  <c r="J4" i="3" s="1"/>
  <c r="I5" i="3"/>
  <c r="J5" i="3" s="1"/>
  <c r="I6" i="3"/>
  <c r="J6" i="3" s="1"/>
  <c r="I7" i="3"/>
  <c r="J7" i="3" s="1"/>
  <c r="I8" i="3"/>
  <c r="J8" i="3" s="1"/>
  <c r="I9" i="3"/>
  <c r="J9" i="3" s="1"/>
  <c r="I2" i="3"/>
  <c r="J2" i="3" s="1"/>
</calcChain>
</file>

<file path=xl/sharedStrings.xml><?xml version="1.0" encoding="utf-8"?>
<sst xmlns="http://schemas.openxmlformats.org/spreadsheetml/2006/main" count="3308" uniqueCount="400">
  <si>
    <t>Order ID</t>
  </si>
  <si>
    <t>Order Date</t>
  </si>
  <si>
    <t>Customer Name</t>
  </si>
  <si>
    <t>Country</t>
  </si>
  <si>
    <t>City</t>
  </si>
  <si>
    <t>Product Category</t>
  </si>
  <si>
    <t>Product Name</t>
  </si>
  <si>
    <t>Quantity</t>
  </si>
  <si>
    <t>Unit Price</t>
  </si>
  <si>
    <t>Discount</t>
  </si>
  <si>
    <t>Total Sales</t>
  </si>
  <si>
    <t>Payment Method</t>
  </si>
  <si>
    <t>Order Status</t>
  </si>
  <si>
    <t>Delivery Date</t>
  </si>
  <si>
    <t>Customer Rating</t>
  </si>
  <si>
    <t>ORD1001</t>
  </si>
  <si>
    <t>Peter Johnson</t>
  </si>
  <si>
    <t>NIGERIA</t>
  </si>
  <si>
    <t>Lagos</t>
  </si>
  <si>
    <t>Electronics</t>
  </si>
  <si>
    <t>ELEC-1002-Y-Bluetooth Speaker</t>
  </si>
  <si>
    <t>Credit Card</t>
  </si>
  <si>
    <t>delivered</t>
  </si>
  <si>
    <t>ORD1002</t>
  </si>
  <si>
    <t>Daniel Anderson</t>
  </si>
  <si>
    <t>UK</t>
  </si>
  <si>
    <t>London</t>
  </si>
  <si>
    <t>Beauty</t>
  </si>
  <si>
    <t>BEAU-4001-C-Face Serum</t>
  </si>
  <si>
    <t>creditcard</t>
  </si>
  <si>
    <t>Shipped</t>
  </si>
  <si>
    <t>ORD1003</t>
  </si>
  <si>
    <t>Aisha Garcia</t>
  </si>
  <si>
    <t>Ghana</t>
  </si>
  <si>
    <t>Accra</t>
  </si>
  <si>
    <t>Electronic</t>
  </si>
  <si>
    <t>HOME-2001-A-Air Fryer</t>
  </si>
  <si>
    <t>ORD1004</t>
  </si>
  <si>
    <t>Daniel Johnson</t>
  </si>
  <si>
    <t>South Africa</t>
  </si>
  <si>
    <t>Cape Town</t>
  </si>
  <si>
    <t>ORD1005</t>
  </si>
  <si>
    <t>Ahmed Garcia</t>
  </si>
  <si>
    <t>nigeria</t>
  </si>
  <si>
    <t>Kano</t>
  </si>
  <si>
    <t>electronics</t>
  </si>
  <si>
    <t>ELEC-1001-X-Wireless Mouse</t>
  </si>
  <si>
    <t>Cash</t>
  </si>
  <si>
    <t>Complete</t>
  </si>
  <si>
    <t>ORD1006</t>
  </si>
  <si>
    <t>Grace Thomas</t>
  </si>
  <si>
    <t>Kenya</t>
  </si>
  <si>
    <t>Nairobi</t>
  </si>
  <si>
    <t>ORD1007</t>
  </si>
  <si>
    <t>Ahmed Rauf</t>
  </si>
  <si>
    <t>United Kingdom</t>
  </si>
  <si>
    <t>fashion</t>
  </si>
  <si>
    <t>PayPal</t>
  </si>
  <si>
    <t>ORD1008</t>
  </si>
  <si>
    <t>David Wilson</t>
  </si>
  <si>
    <t>Fashion</t>
  </si>
  <si>
    <t>Delivered</t>
  </si>
  <si>
    <t>ORD1009</t>
  </si>
  <si>
    <t>Sophia Johnson</t>
  </si>
  <si>
    <t>FASH-3001-B-Running Shoes</t>
  </si>
  <si>
    <t>Bank Transfer</t>
  </si>
  <si>
    <t>ORD1010</t>
  </si>
  <si>
    <t>25/11/2025</t>
  </si>
  <si>
    <t>Peter Taylor</t>
  </si>
  <si>
    <t>Cancelled</t>
  </si>
  <si>
    <t>ORD1011</t>
  </si>
  <si>
    <t>Sophia Thomas</t>
  </si>
  <si>
    <t>Nigeria</t>
  </si>
  <si>
    <t>ORD1012</t>
  </si>
  <si>
    <t>Samuel Rauf</t>
  </si>
  <si>
    <t>ORD1013</t>
  </si>
  <si>
    <t>Daniel Brown</t>
  </si>
  <si>
    <t>ORD1014</t>
  </si>
  <si>
    <t>Samuel Taylor</t>
  </si>
  <si>
    <t>ORD1015</t>
  </si>
  <si>
    <t>Sarah Johnson</t>
  </si>
  <si>
    <t>Pending</t>
  </si>
  <si>
    <t>ORD1016</t>
  </si>
  <si>
    <t>Ahmed Davis</t>
  </si>
  <si>
    <t>ORD1017</t>
  </si>
  <si>
    <t>James Martin</t>
  </si>
  <si>
    <t>Home &amp; Kitchen</t>
  </si>
  <si>
    <t>ORD1018</t>
  </si>
  <si>
    <t>Ahmed Taylor</t>
  </si>
  <si>
    <t>ORD1019</t>
  </si>
  <si>
    <t>David Miller</t>
  </si>
  <si>
    <t>Abuja</t>
  </si>
  <si>
    <t>ORD1020</t>
  </si>
  <si>
    <t>Linda Taylor</t>
  </si>
  <si>
    <t>ORD1021</t>
  </si>
  <si>
    <t>Mary Thomas</t>
  </si>
  <si>
    <t>kenya</t>
  </si>
  <si>
    <t>ORD1022</t>
  </si>
  <si>
    <t>ORD1023</t>
  </si>
  <si>
    <t>grace anderson</t>
  </si>
  <si>
    <t>niGERIA</t>
  </si>
  <si>
    <t>ORD1024</t>
  </si>
  <si>
    <t>Linda Garcia</t>
  </si>
  <si>
    <t>ORD1025</t>
  </si>
  <si>
    <t>Michael Garcia</t>
  </si>
  <si>
    <t>ORD1026</t>
  </si>
  <si>
    <t>Sophia Garcia</t>
  </si>
  <si>
    <t>ORD1027</t>
  </si>
  <si>
    <t>Daniel Smith</t>
  </si>
  <si>
    <t>ORD1028</t>
  </si>
  <si>
    <t>Credit-card</t>
  </si>
  <si>
    <t>ORD1029</t>
  </si>
  <si>
    <t>MICHAEL BROWN</t>
  </si>
  <si>
    <t>ORD1030</t>
  </si>
  <si>
    <t>18/06/2025</t>
  </si>
  <si>
    <t>Peter Wilson</t>
  </si>
  <si>
    <t>ORD1031</t>
  </si>
  <si>
    <t>Michael Smith</t>
  </si>
  <si>
    <t>ORD1032</t>
  </si>
  <si>
    <t>John Taylor</t>
  </si>
  <si>
    <t>ORD1033</t>
  </si>
  <si>
    <t>Daniel Garcia</t>
  </si>
  <si>
    <t>ORD1034</t>
  </si>
  <si>
    <t>Michael Miller</t>
  </si>
  <si>
    <t>ORD1035</t>
  </si>
  <si>
    <t>Daniel Davis</t>
  </si>
  <si>
    <t>ORD1036</t>
  </si>
  <si>
    <t>Sarah Wilson</t>
  </si>
  <si>
    <t>ORD1037</t>
  </si>
  <si>
    <t>Fatima Miller</t>
  </si>
  <si>
    <t>ORD1038</t>
  </si>
  <si>
    <t>David Davis</t>
  </si>
  <si>
    <t>ORD1039</t>
  </si>
  <si>
    <t>Fatima Garcia</t>
  </si>
  <si>
    <t>ORD1040</t>
  </si>
  <si>
    <t>Aisha Taylor</t>
  </si>
  <si>
    <t>ORD1041</t>
  </si>
  <si>
    <t>John Wilson</t>
  </si>
  <si>
    <t>ORD1042</t>
  </si>
  <si>
    <t>Daniel Martin</t>
  </si>
  <si>
    <t>ORD1043</t>
  </si>
  <si>
    <t>Sophia Davis</t>
  </si>
  <si>
    <t>ORD1044</t>
  </si>
  <si>
    <t>ORD1045</t>
  </si>
  <si>
    <t>ORD1046</t>
  </si>
  <si>
    <t>peter johnson</t>
  </si>
  <si>
    <t>ORD1047</t>
  </si>
  <si>
    <t>ORD1048</t>
  </si>
  <si>
    <t>Ahmed Smith</t>
  </si>
  <si>
    <t>ORD1049</t>
  </si>
  <si>
    <t>Peter Davis</t>
  </si>
  <si>
    <t>ORD1050</t>
  </si>
  <si>
    <t>23/05/2025</t>
  </si>
  <si>
    <t>Aisha Wilson</t>
  </si>
  <si>
    <t>ORD1051</t>
  </si>
  <si>
    <t>Sarah Rauf</t>
  </si>
  <si>
    <t>ORD1052</t>
  </si>
  <si>
    <t>Ahmed Wilson</t>
  </si>
  <si>
    <t>ORD1053</t>
  </si>
  <si>
    <t>Aisha Davis</t>
  </si>
  <si>
    <t>ORD1054</t>
  </si>
  <si>
    <t>Aisha Johnson</t>
  </si>
  <si>
    <t>ORD1055</t>
  </si>
  <si>
    <t>Aisha Brown</t>
  </si>
  <si>
    <t>ORD1056</t>
  </si>
  <si>
    <t>ORD1057</t>
  </si>
  <si>
    <t>Mary Anderson</t>
  </si>
  <si>
    <t>ORD1058</t>
  </si>
  <si>
    <t>AHMED ANDERSON</t>
  </si>
  <si>
    <t>ORD1059</t>
  </si>
  <si>
    <t>ORD1060</t>
  </si>
  <si>
    <t>29/04/2025</t>
  </si>
  <si>
    <t>ORD1061</t>
  </si>
  <si>
    <t>Samuel Garcia</t>
  </si>
  <si>
    <t>ORD1062</t>
  </si>
  <si>
    <t>Michael Taylor</t>
  </si>
  <si>
    <t>ORD1063</t>
  </si>
  <si>
    <t>Grace Smith</t>
  </si>
  <si>
    <t>ORD1064</t>
  </si>
  <si>
    <t>Fatima Rauf</t>
  </si>
  <si>
    <t>ORD1065</t>
  </si>
  <si>
    <t>Mary Rauf</t>
  </si>
  <si>
    <t>ORD1066</t>
  </si>
  <si>
    <t>Grace Davis</t>
  </si>
  <si>
    <t>ORD1067</t>
  </si>
  <si>
    <t>ORD1068</t>
  </si>
  <si>
    <t>ORD1069</t>
  </si>
  <si>
    <t>sophia johnson</t>
  </si>
  <si>
    <t>ORD1070</t>
  </si>
  <si>
    <t>Aisha Rauf</t>
  </si>
  <si>
    <t>ORD1071</t>
  </si>
  <si>
    <t>Linda Davis</t>
  </si>
  <si>
    <t>ORD1072</t>
  </si>
  <si>
    <t>Samuel Davis</t>
  </si>
  <si>
    <t>ORD1073</t>
  </si>
  <si>
    <t>James Rauf</t>
  </si>
  <si>
    <t>ORD1074</t>
  </si>
  <si>
    <t>Fatima Brown</t>
  </si>
  <si>
    <t>ORD1075</t>
  </si>
  <si>
    <t>David Brown</t>
  </si>
  <si>
    <t>ORD1076</t>
  </si>
  <si>
    <t>Michael Thomas</t>
  </si>
  <si>
    <t>ORD1077</t>
  </si>
  <si>
    <t>ORD1078</t>
  </si>
  <si>
    <t>ORD1079</t>
  </si>
  <si>
    <t>Peter Martin</t>
  </si>
  <si>
    <t>ORD1080</t>
  </si>
  <si>
    <t>Mary Garcia</t>
  </si>
  <si>
    <t>ORD1081</t>
  </si>
  <si>
    <t>Linda Rauf</t>
  </si>
  <si>
    <t>ORD1082</t>
  </si>
  <si>
    <t>ORD1083</t>
  </si>
  <si>
    <t>Samuel Anderson</t>
  </si>
  <si>
    <t>ORD1084</t>
  </si>
  <si>
    <t>ORD1085</t>
  </si>
  <si>
    <t>John Martin</t>
  </si>
  <si>
    <t>ORD1086</t>
  </si>
  <si>
    <t>ORD1087</t>
  </si>
  <si>
    <t>SARAH ANDERSON</t>
  </si>
  <si>
    <t>ORD1088</t>
  </si>
  <si>
    <t>David Smith</t>
  </si>
  <si>
    <t>ORD1089</t>
  </si>
  <si>
    <t>ORD1090</t>
  </si>
  <si>
    <t>18/12/2025</t>
  </si>
  <si>
    <t>Sophia Miller</t>
  </si>
  <si>
    <t>ORD1091</t>
  </si>
  <si>
    <t>ORD1092</t>
  </si>
  <si>
    <t>linda wilson</t>
  </si>
  <si>
    <t>ORD1093</t>
  </si>
  <si>
    <t>ORD1094</t>
  </si>
  <si>
    <t>ORD1095</t>
  </si>
  <si>
    <t>ORD1096</t>
  </si>
  <si>
    <t>David Garcia</t>
  </si>
  <si>
    <t>ORD1097</t>
  </si>
  <si>
    <t>ORD1098</t>
  </si>
  <si>
    <t>ORD1099</t>
  </si>
  <si>
    <t>ORD1100</t>
  </si>
  <si>
    <t>Michael Rauf</t>
  </si>
  <si>
    <t>ORD1101</t>
  </si>
  <si>
    <t>John Davis</t>
  </si>
  <si>
    <t>ORD1102</t>
  </si>
  <si>
    <t>Fatima Martin</t>
  </si>
  <si>
    <t>ORD1103</t>
  </si>
  <si>
    <t>ORD1104</t>
  </si>
  <si>
    <t>David Anderson</t>
  </si>
  <si>
    <t>ORD1105</t>
  </si>
  <si>
    <t>Aisha Thomas</t>
  </si>
  <si>
    <t>ORD1106</t>
  </si>
  <si>
    <t>Fatima Smith</t>
  </si>
  <si>
    <t>ORD1107</t>
  </si>
  <si>
    <t>Fatima Anderson</t>
  </si>
  <si>
    <t>ORD1108</t>
  </si>
  <si>
    <t>Daniel Thomas</t>
  </si>
  <si>
    <t>ORD1109</t>
  </si>
  <si>
    <t>Peter Anderson</t>
  </si>
  <si>
    <t>ORD1110</t>
  </si>
  <si>
    <t>ORD1111</t>
  </si>
  <si>
    <t>Sophia Brown</t>
  </si>
  <si>
    <t>ORD1112</t>
  </si>
  <si>
    <t>ORD1113</t>
  </si>
  <si>
    <t>James Brown</t>
  </si>
  <si>
    <t>ORD1114</t>
  </si>
  <si>
    <t>Michael Martin</t>
  </si>
  <si>
    <t>ORD1115</t>
  </si>
  <si>
    <t>ahmed miller</t>
  </si>
  <si>
    <t>ORD1116</t>
  </si>
  <si>
    <t>LINDA TAYLOR</t>
  </si>
  <si>
    <t>ORD1117</t>
  </si>
  <si>
    <t>James Smith</t>
  </si>
  <si>
    <t>ORD1118</t>
  </si>
  <si>
    <t>Ahmed Brown</t>
  </si>
  <si>
    <t>ORD1119</t>
  </si>
  <si>
    <t>ORD1120</t>
  </si>
  <si>
    <t>Mary Davis</t>
  </si>
  <si>
    <t>ORD1121</t>
  </si>
  <si>
    <t>ORD1122</t>
  </si>
  <si>
    <t>ORD1123</t>
  </si>
  <si>
    <t>ORD1124</t>
  </si>
  <si>
    <t>ORD1125</t>
  </si>
  <si>
    <t>Michael Johnson</t>
  </si>
  <si>
    <t>ORD1126</t>
  </si>
  <si>
    <t>Linda Miller</t>
  </si>
  <si>
    <t>ORD1127</t>
  </si>
  <si>
    <t>ORD1128</t>
  </si>
  <si>
    <t>ORD1129</t>
  </si>
  <si>
    <t>David Thomas</t>
  </si>
  <si>
    <t>ORD1130</t>
  </si>
  <si>
    <t>13/09/2025</t>
  </si>
  <si>
    <t>ORD1131</t>
  </si>
  <si>
    <t>Mary Brown</t>
  </si>
  <si>
    <t>ORD1132</t>
  </si>
  <si>
    <t>Linda Martin</t>
  </si>
  <si>
    <t>ORD1133</t>
  </si>
  <si>
    <t>Grace Rauf</t>
  </si>
  <si>
    <t>ORD1134</t>
  </si>
  <si>
    <t>ORD1135</t>
  </si>
  <si>
    <t>ORD1136</t>
  </si>
  <si>
    <t>Michael Brown</t>
  </si>
  <si>
    <t>ORD1137</t>
  </si>
  <si>
    <t>Aisha Anderson</t>
  </si>
  <si>
    <t>ORD1138</t>
  </si>
  <si>
    <t>michael thomas</t>
  </si>
  <si>
    <t>ORD1139</t>
  </si>
  <si>
    <t>Grace Brown</t>
  </si>
  <si>
    <t>ORD1140</t>
  </si>
  <si>
    <t>19/02/2025</t>
  </si>
  <si>
    <t>ORD1141</t>
  </si>
  <si>
    <t>Sarah Brown</t>
  </si>
  <si>
    <t>ORD1142</t>
  </si>
  <si>
    <t>John Garcia</t>
  </si>
  <si>
    <t>ORD1143</t>
  </si>
  <si>
    <t>John Miller</t>
  </si>
  <si>
    <t>ORD1144</t>
  </si>
  <si>
    <t>ORD1145</t>
  </si>
  <si>
    <t>LINDA RAUF</t>
  </si>
  <si>
    <t>ORD1146</t>
  </si>
  <si>
    <t>ORD1147</t>
  </si>
  <si>
    <t>Ahmed Martin</t>
  </si>
  <si>
    <t>ORD1148</t>
  </si>
  <si>
    <t>ORD1149</t>
  </si>
  <si>
    <t>Linda Wilson</t>
  </si>
  <si>
    <t>ORD1150</t>
  </si>
  <si>
    <t>24/08/2025</t>
  </si>
  <si>
    <t>ORD1151</t>
  </si>
  <si>
    <t>Sarah Garcia</t>
  </si>
  <si>
    <t>ORD1152</t>
  </si>
  <si>
    <t>Samuel Miller</t>
  </si>
  <si>
    <t>ORD1153</t>
  </si>
  <si>
    <t>Sarah Taylor</t>
  </si>
  <si>
    <t>ORD1154</t>
  </si>
  <si>
    <t>John Johnson</t>
  </si>
  <si>
    <t>ORD1155</t>
  </si>
  <si>
    <t>ORD1156</t>
  </si>
  <si>
    <t>ORD1157</t>
  </si>
  <si>
    <t>Samuel Brown</t>
  </si>
  <si>
    <t>ORD1158</t>
  </si>
  <si>
    <t>ORD1159</t>
  </si>
  <si>
    <t>ORD1160</t>
  </si>
  <si>
    <t>nIGERIA</t>
  </si>
  <si>
    <t>ORD1161</t>
  </si>
  <si>
    <t>fatima brown</t>
  </si>
  <si>
    <t>ORD1162</t>
  </si>
  <si>
    <t>Fatima Taylor</t>
  </si>
  <si>
    <t>ORD1163</t>
  </si>
  <si>
    <t>ORD1164</t>
  </si>
  <si>
    <t>Peter Garcia</t>
  </si>
  <si>
    <t>ORD1165</t>
  </si>
  <si>
    <t>ORD1166</t>
  </si>
  <si>
    <t>Peter Thomas</t>
  </si>
  <si>
    <t>ORD1167</t>
  </si>
  <si>
    <t>Fatima Thomas</t>
  </si>
  <si>
    <t>ORD1168</t>
  </si>
  <si>
    <t>ORD1169</t>
  </si>
  <si>
    <t>Daniel Wilson</t>
  </si>
  <si>
    <t>ORD1170</t>
  </si>
  <si>
    <t>21/05/2025</t>
  </si>
  <si>
    <t>Sarah Miller</t>
  </si>
  <si>
    <t>ORD1171</t>
  </si>
  <si>
    <t>ORD1172</t>
  </si>
  <si>
    <t>ORD1173</t>
  </si>
  <si>
    <t>Sophia Rauf</t>
  </si>
  <si>
    <t>ORD1174</t>
  </si>
  <si>
    <t>SARAH DAVIS</t>
  </si>
  <si>
    <t>ORD1175</t>
  </si>
  <si>
    <t>Samuel Wilson</t>
  </si>
  <si>
    <t>ORD1176</t>
  </si>
  <si>
    <t>ORD1177</t>
  </si>
  <si>
    <t>ORD1178</t>
  </si>
  <si>
    <t>ORD1179</t>
  </si>
  <si>
    <t>ORD1180</t>
  </si>
  <si>
    <t>ORD1181</t>
  </si>
  <si>
    <t>ORD1182</t>
  </si>
  <si>
    <t>James Davis</t>
  </si>
  <si>
    <t>ORD1183</t>
  </si>
  <si>
    <t>John Thomas</t>
  </si>
  <si>
    <t>ORD1184</t>
  </si>
  <si>
    <t>fatima garcia</t>
  </si>
  <si>
    <t>ORD1185</t>
  </si>
  <si>
    <t>Samuel Johnson</t>
  </si>
  <si>
    <t>ORD1186</t>
  </si>
  <si>
    <t>ORD1187</t>
  </si>
  <si>
    <t>ORD1188</t>
  </si>
  <si>
    <t>ORD1189</t>
  </si>
  <si>
    <t>David Johnson</t>
  </si>
  <si>
    <t>ORD1190</t>
  </si>
  <si>
    <t>Grace Anderson</t>
  </si>
  <si>
    <t/>
  </si>
  <si>
    <t>Ahmed Anderson</t>
  </si>
  <si>
    <t>Sarah Anderson</t>
  </si>
  <si>
    <t>Ahmed Miller</t>
  </si>
  <si>
    <t>Sarah Davis</t>
  </si>
  <si>
    <t>Category Code</t>
  </si>
  <si>
    <t>ELEC</t>
  </si>
  <si>
    <t>BEAU</t>
  </si>
  <si>
    <t>HOME</t>
  </si>
  <si>
    <t>FASH</t>
  </si>
  <si>
    <t>Category Match</t>
  </si>
  <si>
    <t>Cleaned Product Category</t>
  </si>
  <si>
    <t>Original Product Category</t>
  </si>
  <si>
    <t>Order date &lt;= Delivery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</si>
</sst>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8" formatCode="&quot;$&quot;#,##0.00_);[Red]\(&quot;$&quot;#,##0.00\)"/>
    <numFmt numFmtId="164" formatCode="_([$$-409]* #,##0.00_);_([$$-409]* \(#,##0.00\);_([$$-409]* &quot;-&quot;??_);_(@_)"/>
    <numFmt numFmtId="165" formatCode="&quot;$&quot;#,##0.00"/>
  </numFmts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0"/>
      <color rgb="FF1F1F1F"/>
      <name val="Arial"/>
      <family val="2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top" readingOrder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top" readingOrder="1"/>
    </xf>
    <xf numFmtId="0" fontId="2" fillId="2" borderId="2" xfId="0" applyFont="1" applyFill="1" applyBorder="1" applyAlignment="1">
      <alignment horizontal="left" vertical="center"/>
    </xf>
    <xf numFmtId="14" fontId="2" fillId="2" borderId="2" xfId="0" applyNumberFormat="1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readingOrder="1"/>
    </xf>
    <xf numFmtId="0" fontId="2" fillId="2" borderId="2" xfId="0" applyFont="1" applyFill="1" applyBorder="1" applyAlignment="1">
      <alignment horizontal="right" readingOrder="1"/>
    </xf>
    <xf numFmtId="8" fontId="2" fillId="2" borderId="2" xfId="0" applyNumberFormat="1" applyFont="1" applyFill="1" applyBorder="1" applyAlignment="1">
      <alignment horizontal="left" readingOrder="1"/>
    </xf>
    <xf numFmtId="14" fontId="2" fillId="2" borderId="1" xfId="0" applyNumberFormat="1" applyFont="1" applyFill="1" applyBorder="1" applyAlignment="1">
      <alignment horizontal="left" vertical="center"/>
    </xf>
    <xf numFmtId="0" fontId="3" fillId="2" borderId="2" xfId="0" applyFont="1" applyFill="1" applyBorder="1" applyAlignment="1">
      <alignment wrapText="1"/>
    </xf>
    <xf numFmtId="14" fontId="2" fillId="2" borderId="2" xfId="0" applyNumberFormat="1" applyFont="1" applyFill="1" applyBorder="1" applyAlignment="1">
      <alignment horizontal="right" readingOrder="1"/>
    </xf>
    <xf numFmtId="0" fontId="2" fillId="2" borderId="1" xfId="0" applyFont="1" applyFill="1" applyBorder="1" applyAlignment="1">
      <alignment horizontal="left" vertical="center"/>
    </xf>
    <xf numFmtId="0" fontId="4" fillId="3" borderId="0" xfId="0" applyFont="1" applyFill="1"/>
    <xf numFmtId="14" fontId="4" fillId="3" borderId="0" xfId="0" applyNumberFormat="1" applyFont="1" applyFill="1"/>
    <xf numFmtId="14" fontId="0" fillId="0" borderId="0" xfId="0" applyNumberFormat="1"/>
    <xf numFmtId="14" fontId="4" fillId="4" borderId="0" xfId="0" applyNumberFormat="1" applyFont="1" applyFill="1"/>
    <xf numFmtId="0" fontId="4" fillId="4" borderId="0" xfId="0" applyFont="1" applyFill="1"/>
    <xf numFmtId="0" fontId="0" fillId="0" borderId="0" xfId="0" applyNumberFormat="1"/>
    <xf numFmtId="0" fontId="4" fillId="3" borderId="0" xfId="0" applyNumberFormat="1" applyFont="1" applyFill="1"/>
    <xf numFmtId="164" fontId="4" fillId="3" borderId="0" xfId="0" applyNumberFormat="1" applyFont="1" applyFill="1"/>
    <xf numFmtId="164" fontId="0" fillId="0" borderId="0" xfId="0" applyNumberFormat="1"/>
    <xf numFmtId="9" fontId="0" fillId="0" borderId="0" xfId="1" applyFont="1"/>
    <xf numFmtId="165" fontId="4" fillId="3" borderId="0" xfId="0" applyNumberFormat="1" applyFont="1" applyFill="1"/>
    <xf numFmtId="165" fontId="0" fillId="0" borderId="0" xfId="0" applyNumberFormat="1"/>
  </cellXfs>
  <cellStyles count="2">
    <cellStyle name="Normal" xfId="0" builtinId="0"/>
    <cellStyle name="Percent" xfId="1" builtinId="5"/>
  </cellStyles>
  <dxfs count="12">
    <dxf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9" formatCode="m/d/yyyy"/>
    </dxf>
    <dxf>
      <numFmt numFmtId="164" formatCode="_([$$-409]* #,##0.00_);_([$$-409]* \(#,##0.00\);_([$$-409]* &quot;-&quot;??_);_(@_)"/>
    </dxf>
    <dxf>
      <numFmt numFmtId="0" formatCode="General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2</xdr:row>
      <xdr:rowOff>161925</xdr:rowOff>
    </xdr:from>
    <xdr:to>
      <xdr:col>11</xdr:col>
      <xdr:colOff>552450</xdr:colOff>
      <xdr:row>21</xdr:row>
      <xdr:rowOff>171450</xdr:rowOff>
    </xdr:to>
    <xdr:sp macro="" textlink="">
      <xdr:nvSpPr>
        <xdr:cNvPr id="3" name="TextBox 2"/>
        <xdr:cNvSpPr txBox="1"/>
      </xdr:nvSpPr>
      <xdr:spPr>
        <a:xfrm>
          <a:off x="2752725" y="542925"/>
          <a:ext cx="5343525" cy="3629025"/>
        </a:xfrm>
        <a:prstGeom prst="rect">
          <a:avLst/>
        </a:prstGeom>
        <a:solidFill>
          <a:schemeClr val="accent6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  <a:p>
          <a:r>
            <a:rPr lang="en-US" sz="1100" b="1">
              <a:solidFill>
                <a:schemeClr val="bg1"/>
              </a:solidFill>
            </a:rPr>
            <a:t>DATA</a:t>
          </a:r>
          <a:r>
            <a:rPr lang="en-US" sz="1100" b="1" baseline="0">
              <a:solidFill>
                <a:schemeClr val="bg1"/>
              </a:solidFill>
            </a:rPr>
            <a:t> QUALITY ISSUES ENCOUNTERED:</a:t>
          </a:r>
        </a:p>
        <a:p>
          <a:endParaRPr lang="en-US" sz="1100"/>
        </a:p>
        <a:p>
          <a:r>
            <a:rPr lang="en-US" sz="1100">
              <a:solidFill>
                <a:schemeClr val="bg1"/>
              </a:solidFill>
            </a:rPr>
            <a:t>After Cleaning the dataset, ther</a:t>
          </a:r>
          <a:r>
            <a:rPr lang="en-US" sz="1100" baseline="0">
              <a:solidFill>
                <a:schemeClr val="bg1"/>
              </a:solidFill>
            </a:rPr>
            <a:t>e are Missing values which I marked Green</a:t>
          </a:r>
        </a:p>
        <a:p>
          <a:endParaRPr lang="en-US" sz="1100" baseline="0">
            <a:solidFill>
              <a:schemeClr val="bg1"/>
            </a:solidFill>
          </a:endParaRPr>
        </a:p>
        <a:p>
          <a:r>
            <a:rPr lang="en-US" sz="1100" baseline="0">
              <a:solidFill>
                <a:schemeClr val="bg1"/>
              </a:solidFill>
            </a:rPr>
            <a:t>There are also Illogical datatypes (e.g -2, 0) which I marked RED.</a:t>
          </a:r>
        </a:p>
        <a:p>
          <a:endParaRPr lang="en-US" sz="1100" baseline="0">
            <a:solidFill>
              <a:schemeClr val="bg1"/>
            </a:solidFill>
          </a:endParaRPr>
        </a:p>
        <a:p>
          <a:r>
            <a:rPr lang="en-US" sz="1100" baseline="0">
              <a:solidFill>
                <a:schemeClr val="bg1"/>
              </a:solidFill>
            </a:rPr>
            <a:t>There are 2 conflicting columns namely: Original Product Category and Product Name. I created a dummy column from Product Name by extracting the first four letters which is an abbreviation for Beauty, Electronics, Fashion and Home &amp; Kitchen. But on a closer look, the extracted column and the Original Product Category do not match. </a:t>
          </a:r>
        </a:p>
        <a:p>
          <a:endParaRPr lang="en-US" sz="1100" baseline="0">
            <a:solidFill>
              <a:schemeClr val="bg1"/>
            </a:solidFill>
          </a:endParaRPr>
        </a:p>
        <a:p>
          <a:r>
            <a:rPr lang="en-US" sz="1100" baseline="0">
              <a:solidFill>
                <a:schemeClr val="bg1"/>
              </a:solidFill>
            </a:rPr>
            <a:t>So  the headache here is;  Should we go with the Product Name or the original Product category for our Analysis?</a:t>
          </a:r>
        </a:p>
        <a:p>
          <a:endParaRPr lang="en-US" sz="1100" baseline="0">
            <a:solidFill>
              <a:schemeClr val="bg1"/>
            </a:solidFill>
          </a:endParaRPr>
        </a:p>
        <a:p>
          <a:r>
            <a:rPr lang="en-US" sz="1100">
              <a:solidFill>
                <a:schemeClr val="bg1"/>
              </a:solidFill>
            </a:rPr>
            <a:t>There are some</a:t>
          </a:r>
          <a:r>
            <a:rPr lang="en-US" sz="1100" baseline="0">
              <a:solidFill>
                <a:schemeClr val="bg1"/>
              </a:solidFill>
            </a:rPr>
            <a:t> Customer rating that exceeds  5</a:t>
          </a:r>
        </a:p>
        <a:p>
          <a:endParaRPr lang="en-US" sz="1100" baseline="0">
            <a:solidFill>
              <a:schemeClr val="bg1"/>
            </a:solidFill>
          </a:endParaRPr>
        </a:p>
        <a:p>
          <a:r>
            <a:rPr lang="en-US" sz="1100" baseline="0">
              <a:solidFill>
                <a:schemeClr val="bg1"/>
              </a:solidFill>
            </a:rPr>
            <a:t>Order Date should be greater than or equal to Delivery Date, but in some cases, they are not so.</a:t>
          </a:r>
        </a:p>
      </xdr:txBody>
    </xdr:sp>
    <xdr:clientData/>
  </xdr:twoCellAnchor>
  <xdr:twoCellAnchor>
    <xdr:from>
      <xdr:col>3</xdr:col>
      <xdr:colOff>457201</xdr:colOff>
      <xdr:row>1</xdr:row>
      <xdr:rowOff>9525</xdr:rowOff>
    </xdr:from>
    <xdr:to>
      <xdr:col>6</xdr:col>
      <xdr:colOff>133350</xdr:colOff>
      <xdr:row>3</xdr:row>
      <xdr:rowOff>57150</xdr:rowOff>
    </xdr:to>
    <xdr:sp macro="" textlink="">
      <xdr:nvSpPr>
        <xdr:cNvPr id="2" name="TextBox 1"/>
        <xdr:cNvSpPr txBox="1"/>
      </xdr:nvSpPr>
      <xdr:spPr>
        <a:xfrm>
          <a:off x="3124201" y="200025"/>
          <a:ext cx="1504949" cy="428625"/>
        </a:xfrm>
        <a:prstGeom prst="rect">
          <a:avLst/>
        </a:prstGeom>
        <a:solidFill>
          <a:schemeClr val="tx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>
              <a:solidFill>
                <a:schemeClr val="bg1"/>
              </a:solidFill>
            </a:rPr>
            <a:t>REPORT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1" name="Table1" displayName="Table1" ref="A1:S192" totalsRowShown="0" headerRowDxfId="6">
  <autoFilter ref="A1:S192"/>
  <tableColumns count="19">
    <tableColumn id="1" name="Order ID"/>
    <tableColumn id="2" name="Order Date" dataDxfId="5"/>
    <tableColumn id="3" name="Customer Name"/>
    <tableColumn id="4" name="Country"/>
    <tableColumn id="5" name="City"/>
    <tableColumn id="6" name="Original Product Category"/>
    <tableColumn id="7" name="Product Name"/>
    <tableColumn id="8" name="Category Code"/>
    <tableColumn id="9" name="Cleaned Product Category">
      <calculatedColumnFormula>VLOOKUP(H2,REPORT!$B$1:$C$4,2,FALSE)</calculatedColumnFormula>
    </tableColumn>
    <tableColumn id="10" name="Category Match">
      <calculatedColumnFormula>IF(F2=I2,"Match","Mismatch")</calculatedColumnFormula>
    </tableColumn>
    <tableColumn id="11" name="Quantity" dataDxfId="4"/>
    <tableColumn id="12" name="Unit Price" dataDxfId="3"/>
    <tableColumn id="13" name="Discount" dataDxfId="1" dataCellStyle="Percent"/>
    <tableColumn id="14" name="Total Sales" dataDxfId="0"/>
    <tableColumn id="15" name="Payment Method"/>
    <tableColumn id="16" name="Order Status"/>
    <tableColumn id="17" name="Delivery Date" dataDxfId="2"/>
    <tableColumn id="18" name="Customer Rating"/>
    <tableColumn id="19" name="Order date &lt;= Delivery Date">
      <calculatedColumnFormula>IF(B2&lt;=Q2,"YES","NO")</calculatedColumnFormula>
    </tableColumn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4"/>
  <sheetViews>
    <sheetView topLeftCell="A97" zoomScale="85" zoomScaleNormal="85" workbookViewId="0">
      <selection activeCell="C26" sqref="C26"/>
    </sheetView>
  </sheetViews>
  <sheetFormatPr defaultRowHeight="15" x14ac:dyDescent="0.25"/>
  <cols>
    <col min="1" max="1" width="10.42578125" bestFit="1" customWidth="1"/>
    <col min="2" max="2" width="12.28515625" bestFit="1" customWidth="1"/>
    <col min="3" max="3" width="21" bestFit="1" customWidth="1"/>
    <col min="4" max="4" width="16.28515625" bestFit="1" customWidth="1"/>
    <col min="5" max="5" width="11.7109375" customWidth="1"/>
    <col min="6" max="6" width="19" customWidth="1"/>
    <col min="7" max="7" width="32.28515625" bestFit="1" customWidth="1"/>
    <col min="8" max="8" width="9.42578125" bestFit="1" customWidth="1"/>
    <col min="9" max="9" width="11" bestFit="1" customWidth="1"/>
    <col min="10" max="10" width="10" bestFit="1" customWidth="1"/>
    <col min="11" max="11" width="12.28515625" bestFit="1" customWidth="1"/>
    <col min="12" max="12" width="18.140625" bestFit="1" customWidth="1"/>
    <col min="13" max="13" width="14.140625" bestFit="1" customWidth="1"/>
    <col min="14" max="14" width="14.85546875" bestFit="1" customWidth="1"/>
    <col min="15" max="15" width="18.28515625" bestFit="1" customWidth="1"/>
  </cols>
  <sheetData>
    <row r="1" spans="1:15" ht="15.75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5.75" thickBot="1" x14ac:dyDescent="0.3">
      <c r="A2" s="5" t="s">
        <v>15</v>
      </c>
      <c r="B2" s="6">
        <v>45798</v>
      </c>
      <c r="C2" s="5" t="s">
        <v>16</v>
      </c>
      <c r="D2" s="7" t="s">
        <v>17</v>
      </c>
      <c r="E2" s="7" t="s">
        <v>18</v>
      </c>
      <c r="F2" s="5" t="s">
        <v>19</v>
      </c>
      <c r="G2" s="5" t="s">
        <v>20</v>
      </c>
      <c r="H2" s="8">
        <v>3</v>
      </c>
      <c r="I2" s="8">
        <v>370.87</v>
      </c>
      <c r="J2" s="8">
        <v>20</v>
      </c>
      <c r="K2" s="8">
        <v>890.09</v>
      </c>
      <c r="L2" s="5" t="s">
        <v>21</v>
      </c>
      <c r="M2" s="7" t="s">
        <v>22</v>
      </c>
      <c r="N2" s="6">
        <v>45802</v>
      </c>
      <c r="O2" s="8">
        <v>1</v>
      </c>
    </row>
    <row r="3" spans="1:15" ht="15.75" thickBot="1" x14ac:dyDescent="0.3">
      <c r="A3" s="5" t="s">
        <v>23</v>
      </c>
      <c r="B3" s="6">
        <v>45945</v>
      </c>
      <c r="C3" s="5" t="s">
        <v>24</v>
      </c>
      <c r="D3" s="7" t="s">
        <v>25</v>
      </c>
      <c r="E3" s="5" t="s">
        <v>26</v>
      </c>
      <c r="F3" s="7" t="s">
        <v>27</v>
      </c>
      <c r="G3" s="5" t="s">
        <v>28</v>
      </c>
      <c r="H3" s="8">
        <v>7</v>
      </c>
      <c r="I3" s="8">
        <v>118.02</v>
      </c>
      <c r="J3" s="8">
        <v>20</v>
      </c>
      <c r="K3" s="8">
        <v>660.91</v>
      </c>
      <c r="L3" s="5" t="s">
        <v>29</v>
      </c>
      <c r="M3" s="7" t="s">
        <v>30</v>
      </c>
      <c r="N3" s="6">
        <v>45949</v>
      </c>
      <c r="O3" s="8">
        <v>3</v>
      </c>
    </row>
    <row r="4" spans="1:15" ht="15.75" thickBot="1" x14ac:dyDescent="0.3">
      <c r="A4" s="5" t="s">
        <v>31</v>
      </c>
      <c r="B4" s="6">
        <v>45768</v>
      </c>
      <c r="C4" s="5" t="s">
        <v>32</v>
      </c>
      <c r="D4" s="7" t="s">
        <v>33</v>
      </c>
      <c r="E4" s="7" t="s">
        <v>34</v>
      </c>
      <c r="F4" s="5" t="s">
        <v>35</v>
      </c>
      <c r="G4" s="5" t="s">
        <v>36</v>
      </c>
      <c r="H4" s="8">
        <v>2</v>
      </c>
      <c r="I4" s="8">
        <v>55.45</v>
      </c>
      <c r="J4" s="8">
        <v>0</v>
      </c>
      <c r="K4" s="8">
        <v>110.9</v>
      </c>
      <c r="L4" s="5" t="s">
        <v>21</v>
      </c>
      <c r="M4" s="7" t="s">
        <v>30</v>
      </c>
      <c r="N4" s="6">
        <v>45781</v>
      </c>
      <c r="O4" s="8">
        <v>3</v>
      </c>
    </row>
    <row r="5" spans="1:15" ht="15.75" thickBot="1" x14ac:dyDescent="0.3">
      <c r="A5" s="5" t="s">
        <v>37</v>
      </c>
      <c r="B5" s="6">
        <v>45698</v>
      </c>
      <c r="C5" s="5" t="s">
        <v>38</v>
      </c>
      <c r="D5" s="5" t="s">
        <v>39</v>
      </c>
      <c r="E5" s="5" t="s">
        <v>40</v>
      </c>
      <c r="F5" s="5" t="s">
        <v>19</v>
      </c>
      <c r="G5" s="5" t="s">
        <v>36</v>
      </c>
      <c r="H5" s="8">
        <v>10</v>
      </c>
      <c r="I5" s="8">
        <v>443.87</v>
      </c>
      <c r="J5" s="8">
        <v>10</v>
      </c>
      <c r="K5" s="8">
        <v>3994.83</v>
      </c>
      <c r="L5" s="5" t="s">
        <v>21</v>
      </c>
      <c r="M5" s="7" t="s">
        <v>30</v>
      </c>
      <c r="N5" s="6">
        <v>45707</v>
      </c>
      <c r="O5" s="8">
        <v>5</v>
      </c>
    </row>
    <row r="6" spans="1:15" ht="15.75" thickBot="1" x14ac:dyDescent="0.3">
      <c r="A6" s="5" t="s">
        <v>41</v>
      </c>
      <c r="B6" s="6">
        <v>45777</v>
      </c>
      <c r="C6" s="5" t="s">
        <v>42</v>
      </c>
      <c r="D6" s="7" t="s">
        <v>43</v>
      </c>
      <c r="E6" s="7" t="s">
        <v>44</v>
      </c>
      <c r="F6" s="5" t="s">
        <v>45</v>
      </c>
      <c r="G6" s="5" t="s">
        <v>46</v>
      </c>
      <c r="H6" s="8">
        <v>7</v>
      </c>
      <c r="I6" s="8">
        <v>146.21</v>
      </c>
      <c r="J6" s="8">
        <v>10</v>
      </c>
      <c r="K6" s="8">
        <v>921.12</v>
      </c>
      <c r="L6" s="7" t="s">
        <v>47</v>
      </c>
      <c r="M6" s="5" t="s">
        <v>48</v>
      </c>
      <c r="N6" s="6">
        <v>45791</v>
      </c>
      <c r="O6" s="8">
        <v>2</v>
      </c>
    </row>
    <row r="7" spans="1:15" ht="15.75" thickBot="1" x14ac:dyDescent="0.3">
      <c r="A7" s="5" t="s">
        <v>49</v>
      </c>
      <c r="B7" s="6">
        <v>45931</v>
      </c>
      <c r="C7" s="5" t="s">
        <v>50</v>
      </c>
      <c r="D7" s="7" t="s">
        <v>51</v>
      </c>
      <c r="E7" s="7" t="s">
        <v>52</v>
      </c>
      <c r="F7" s="5" t="s">
        <v>35</v>
      </c>
      <c r="G7" s="5" t="s">
        <v>20</v>
      </c>
      <c r="H7" s="8">
        <v>3</v>
      </c>
      <c r="I7" s="8">
        <v>236.51</v>
      </c>
      <c r="J7" s="8">
        <v>10</v>
      </c>
      <c r="K7" s="8">
        <v>638.58000000000004</v>
      </c>
      <c r="L7" s="5" t="s">
        <v>21</v>
      </c>
      <c r="M7" s="7" t="s">
        <v>22</v>
      </c>
      <c r="N7" s="6">
        <v>45943</v>
      </c>
      <c r="O7" s="8">
        <v>5</v>
      </c>
    </row>
    <row r="8" spans="1:15" ht="15.75" thickBot="1" x14ac:dyDescent="0.3">
      <c r="A8" s="5" t="s">
        <v>53</v>
      </c>
      <c r="B8" s="6">
        <v>45795</v>
      </c>
      <c r="C8" s="5" t="s">
        <v>54</v>
      </c>
      <c r="D8" s="5" t="s">
        <v>55</v>
      </c>
      <c r="E8" s="5" t="s">
        <v>26</v>
      </c>
      <c r="F8" s="7" t="s">
        <v>56</v>
      </c>
      <c r="G8" s="5" t="s">
        <v>20</v>
      </c>
      <c r="H8" s="8">
        <v>10</v>
      </c>
      <c r="I8" s="8">
        <v>439.42</v>
      </c>
      <c r="J8" s="8">
        <v>10</v>
      </c>
      <c r="K8" s="8">
        <v>3954.78</v>
      </c>
      <c r="L8" s="7" t="s">
        <v>57</v>
      </c>
      <c r="M8" s="7" t="s">
        <v>22</v>
      </c>
      <c r="N8" s="6">
        <v>45797</v>
      </c>
      <c r="O8" s="8">
        <v>2</v>
      </c>
    </row>
    <row r="9" spans="1:15" ht="15.75" thickBot="1" x14ac:dyDescent="0.3">
      <c r="A9" s="5" t="s">
        <v>58</v>
      </c>
      <c r="B9" s="6">
        <v>45933</v>
      </c>
      <c r="C9" s="5" t="s">
        <v>59</v>
      </c>
      <c r="D9" s="7" t="s">
        <v>51</v>
      </c>
      <c r="E9" s="7" t="s">
        <v>52</v>
      </c>
      <c r="F9" s="7" t="s">
        <v>60</v>
      </c>
      <c r="G9" s="5" t="s">
        <v>28</v>
      </c>
      <c r="H9" s="8">
        <v>7</v>
      </c>
      <c r="I9" s="8">
        <v>449.93</v>
      </c>
      <c r="J9" s="8">
        <v>15</v>
      </c>
      <c r="K9" s="8">
        <v>2677.08</v>
      </c>
      <c r="L9" s="7" t="s">
        <v>57</v>
      </c>
      <c r="M9" s="5" t="s">
        <v>61</v>
      </c>
      <c r="N9" s="6">
        <v>45938</v>
      </c>
      <c r="O9" s="8">
        <v>3</v>
      </c>
    </row>
    <row r="10" spans="1:15" ht="15.75" thickBot="1" x14ac:dyDescent="0.3">
      <c r="A10" s="5" t="s">
        <v>62</v>
      </c>
      <c r="B10" s="6">
        <v>45979</v>
      </c>
      <c r="C10" s="5" t="s">
        <v>63</v>
      </c>
      <c r="D10" s="5" t="s">
        <v>55</v>
      </c>
      <c r="E10" s="5" t="s">
        <v>26</v>
      </c>
      <c r="F10" s="5" t="s">
        <v>35</v>
      </c>
      <c r="G10" s="5" t="s">
        <v>64</v>
      </c>
      <c r="H10" s="8">
        <v>10</v>
      </c>
      <c r="I10" s="8">
        <v>41.13</v>
      </c>
      <c r="J10" s="8">
        <v>15</v>
      </c>
      <c r="K10" s="8">
        <v>349.61</v>
      </c>
      <c r="L10" s="5" t="s">
        <v>65</v>
      </c>
      <c r="M10" s="5" t="s">
        <v>61</v>
      </c>
      <c r="N10" s="6">
        <v>45982</v>
      </c>
      <c r="O10" s="8">
        <v>5</v>
      </c>
    </row>
    <row r="11" spans="1:15" ht="15.75" thickBot="1" x14ac:dyDescent="0.3">
      <c r="A11" s="5" t="s">
        <v>66</v>
      </c>
      <c r="B11" s="5" t="s">
        <v>67</v>
      </c>
      <c r="C11" s="5" t="s">
        <v>68</v>
      </c>
      <c r="D11" s="7" t="s">
        <v>33</v>
      </c>
      <c r="E11" s="7" t="s">
        <v>34</v>
      </c>
      <c r="F11" s="7" t="s">
        <v>27</v>
      </c>
      <c r="G11" s="5" t="s">
        <v>46</v>
      </c>
      <c r="H11" s="8">
        <v>5</v>
      </c>
      <c r="I11" s="8">
        <v>223.03</v>
      </c>
      <c r="J11" s="8">
        <v>15</v>
      </c>
      <c r="K11" s="8">
        <v>947.88</v>
      </c>
      <c r="L11" s="5" t="s">
        <v>29</v>
      </c>
      <c r="M11" s="5" t="s">
        <v>69</v>
      </c>
      <c r="N11" s="6">
        <v>45992</v>
      </c>
      <c r="O11" s="8">
        <v>1</v>
      </c>
    </row>
    <row r="12" spans="1:15" ht="15.75" thickBot="1" x14ac:dyDescent="0.3">
      <c r="A12" s="5" t="s">
        <v>70</v>
      </c>
      <c r="B12" s="6">
        <v>45985</v>
      </c>
      <c r="C12" s="5" t="s">
        <v>71</v>
      </c>
      <c r="D12" s="7" t="s">
        <v>72</v>
      </c>
      <c r="E12" s="7" t="s">
        <v>44</v>
      </c>
      <c r="F12" s="5" t="s">
        <v>35</v>
      </c>
      <c r="G12" s="5" t="s">
        <v>28</v>
      </c>
      <c r="H12" s="8">
        <v>4</v>
      </c>
      <c r="I12" s="8">
        <v>84.89</v>
      </c>
      <c r="J12" s="8">
        <v>5</v>
      </c>
      <c r="K12" s="8">
        <v>322.58</v>
      </c>
      <c r="L12" s="7" t="s">
        <v>57</v>
      </c>
      <c r="M12" s="5" t="s">
        <v>61</v>
      </c>
      <c r="N12" s="6">
        <v>45994</v>
      </c>
      <c r="O12" s="8">
        <v>5</v>
      </c>
    </row>
    <row r="13" spans="1:15" ht="15.75" thickBot="1" x14ac:dyDescent="0.3">
      <c r="A13" s="5" t="s">
        <v>73</v>
      </c>
      <c r="B13" s="6">
        <v>45780</v>
      </c>
      <c r="C13" s="5" t="s">
        <v>74</v>
      </c>
      <c r="D13" s="5" t="s">
        <v>55</v>
      </c>
      <c r="E13" s="5" t="s">
        <v>26</v>
      </c>
      <c r="F13" s="7" t="s">
        <v>60</v>
      </c>
      <c r="G13" s="5" t="s">
        <v>20</v>
      </c>
      <c r="H13" s="8">
        <v>10</v>
      </c>
      <c r="I13" s="8">
        <v>474.01</v>
      </c>
      <c r="J13" s="8">
        <v>0</v>
      </c>
      <c r="K13" s="8">
        <v>4740.1000000000004</v>
      </c>
      <c r="L13" s="5" t="s">
        <v>29</v>
      </c>
      <c r="M13" s="7" t="s">
        <v>22</v>
      </c>
      <c r="N13" s="6">
        <v>45781</v>
      </c>
      <c r="O13" s="8">
        <v>4</v>
      </c>
    </row>
    <row r="14" spans="1:15" ht="15.75" thickBot="1" x14ac:dyDescent="0.3">
      <c r="A14" s="5" t="s">
        <v>75</v>
      </c>
      <c r="B14" s="6">
        <v>45928</v>
      </c>
      <c r="C14" s="5" t="s">
        <v>76</v>
      </c>
      <c r="D14" s="7" t="s">
        <v>51</v>
      </c>
      <c r="E14" s="7" t="s">
        <v>52</v>
      </c>
      <c r="F14" s="7" t="s">
        <v>56</v>
      </c>
      <c r="G14" s="5" t="s">
        <v>28</v>
      </c>
      <c r="H14" s="8">
        <v>7</v>
      </c>
      <c r="I14" s="8">
        <v>482.54</v>
      </c>
      <c r="J14" s="8">
        <v>20</v>
      </c>
      <c r="K14" s="8">
        <v>2702.22</v>
      </c>
      <c r="L14" s="7" t="s">
        <v>47</v>
      </c>
      <c r="M14" s="5" t="s">
        <v>48</v>
      </c>
      <c r="N14" s="6">
        <v>45942</v>
      </c>
      <c r="O14" s="8">
        <v>2</v>
      </c>
    </row>
    <row r="15" spans="1:15" ht="15.75" thickBot="1" x14ac:dyDescent="0.3">
      <c r="A15" s="5" t="s">
        <v>77</v>
      </c>
      <c r="B15" s="6">
        <v>45719</v>
      </c>
      <c r="C15" s="5" t="s">
        <v>78</v>
      </c>
      <c r="D15" s="7" t="s">
        <v>33</v>
      </c>
      <c r="E15" s="7" t="s">
        <v>34</v>
      </c>
      <c r="F15" s="5" t="s">
        <v>45</v>
      </c>
      <c r="G15" s="5" t="s">
        <v>20</v>
      </c>
      <c r="H15" s="8">
        <v>2</v>
      </c>
      <c r="I15" s="9">
        <v>175.66</v>
      </c>
      <c r="J15" s="8">
        <v>20</v>
      </c>
      <c r="K15" s="8">
        <v>281.06</v>
      </c>
      <c r="L15" s="5" t="s">
        <v>21</v>
      </c>
      <c r="M15" s="5" t="s">
        <v>61</v>
      </c>
      <c r="N15" s="6">
        <v>45723</v>
      </c>
      <c r="O15" s="8">
        <v>5</v>
      </c>
    </row>
    <row r="16" spans="1:15" ht="15.75" thickBot="1" x14ac:dyDescent="0.3">
      <c r="A16" s="5" t="s">
        <v>77</v>
      </c>
      <c r="B16" s="6">
        <v>45719</v>
      </c>
      <c r="C16" s="5" t="s">
        <v>78</v>
      </c>
      <c r="D16" s="7" t="s">
        <v>33</v>
      </c>
      <c r="E16" s="7" t="s">
        <v>34</v>
      </c>
      <c r="F16" s="5" t="s">
        <v>45</v>
      </c>
      <c r="G16" s="5" t="s">
        <v>20</v>
      </c>
      <c r="H16" s="8">
        <v>2</v>
      </c>
      <c r="I16" s="9">
        <v>175.66</v>
      </c>
      <c r="J16" s="8">
        <v>20</v>
      </c>
      <c r="K16" s="8">
        <v>281.06</v>
      </c>
      <c r="L16" s="5" t="s">
        <v>21</v>
      </c>
      <c r="M16" s="5" t="s">
        <v>61</v>
      </c>
      <c r="N16" s="6">
        <v>45723</v>
      </c>
      <c r="O16" s="8">
        <v>5</v>
      </c>
    </row>
    <row r="17" spans="1:15" ht="15.75" thickBot="1" x14ac:dyDescent="0.3">
      <c r="A17" s="5" t="s">
        <v>79</v>
      </c>
      <c r="B17" s="6">
        <v>45827</v>
      </c>
      <c r="C17" s="5" t="s">
        <v>80</v>
      </c>
      <c r="D17" s="7" t="s">
        <v>17</v>
      </c>
      <c r="E17" s="7" t="s">
        <v>18</v>
      </c>
      <c r="F17" s="7" t="s">
        <v>60</v>
      </c>
      <c r="G17" s="5" t="s">
        <v>28</v>
      </c>
      <c r="H17" s="8">
        <v>4</v>
      </c>
      <c r="I17" s="8">
        <v>146.44999999999999</v>
      </c>
      <c r="J17" s="8">
        <v>15</v>
      </c>
      <c r="K17" s="8">
        <v>497.93</v>
      </c>
      <c r="L17" s="5" t="s">
        <v>65</v>
      </c>
      <c r="M17" s="7" t="s">
        <v>81</v>
      </c>
      <c r="N17" s="6">
        <v>45829</v>
      </c>
      <c r="O17" s="8">
        <v>2</v>
      </c>
    </row>
    <row r="18" spans="1:15" ht="15.75" thickBot="1" x14ac:dyDescent="0.3">
      <c r="A18" s="5" t="s">
        <v>82</v>
      </c>
      <c r="B18" s="6">
        <v>45755</v>
      </c>
      <c r="C18" s="5" t="s">
        <v>83</v>
      </c>
      <c r="D18" s="7" t="s">
        <v>72</v>
      </c>
      <c r="E18" s="7" t="s">
        <v>18</v>
      </c>
      <c r="F18" s="7" t="s">
        <v>56</v>
      </c>
      <c r="G18" s="5" t="s">
        <v>46</v>
      </c>
      <c r="H18" s="7">
        <v>7</v>
      </c>
      <c r="I18" s="8">
        <v>183.61</v>
      </c>
      <c r="J18" s="8">
        <v>15</v>
      </c>
      <c r="K18" s="8">
        <v>1092.48</v>
      </c>
      <c r="L18" s="7" t="s">
        <v>47</v>
      </c>
      <c r="M18" s="5" t="s">
        <v>61</v>
      </c>
      <c r="N18" s="6">
        <v>45757</v>
      </c>
      <c r="O18" s="8">
        <v>4</v>
      </c>
    </row>
    <row r="19" spans="1:15" ht="15.75" thickBot="1" x14ac:dyDescent="0.3">
      <c r="A19" s="5" t="s">
        <v>84</v>
      </c>
      <c r="B19" s="6">
        <v>45713</v>
      </c>
      <c r="C19" s="5" t="s">
        <v>85</v>
      </c>
      <c r="D19" s="7" t="s">
        <v>17</v>
      </c>
      <c r="E19" s="7" t="s">
        <v>44</v>
      </c>
      <c r="F19" s="5" t="s">
        <v>86</v>
      </c>
      <c r="G19" s="5" t="s">
        <v>20</v>
      </c>
      <c r="H19" s="8">
        <v>4</v>
      </c>
      <c r="I19" s="8">
        <v>272.77999999999997</v>
      </c>
      <c r="J19" s="8">
        <v>5</v>
      </c>
      <c r="K19" s="8">
        <v>1036.56</v>
      </c>
      <c r="L19" s="5" t="s">
        <v>29</v>
      </c>
      <c r="M19" s="5" t="s">
        <v>61</v>
      </c>
      <c r="N19" s="6">
        <v>45717</v>
      </c>
      <c r="O19" s="8">
        <v>4</v>
      </c>
    </row>
    <row r="20" spans="1:15" ht="15.75" thickBot="1" x14ac:dyDescent="0.3">
      <c r="A20" s="5" t="s">
        <v>87</v>
      </c>
      <c r="B20" s="6">
        <v>45683</v>
      </c>
      <c r="C20" s="5" t="s">
        <v>88</v>
      </c>
      <c r="D20" s="7" t="s">
        <v>25</v>
      </c>
      <c r="E20" s="5" t="s">
        <v>26</v>
      </c>
      <c r="F20" s="5" t="s">
        <v>86</v>
      </c>
      <c r="G20" s="5" t="s">
        <v>28</v>
      </c>
      <c r="H20" s="8">
        <v>-2</v>
      </c>
      <c r="I20" s="8">
        <v>484.81</v>
      </c>
      <c r="J20" s="8">
        <v>5</v>
      </c>
      <c r="K20" s="8">
        <v>-921.14</v>
      </c>
      <c r="L20" s="5" t="s">
        <v>29</v>
      </c>
      <c r="M20" s="7" t="s">
        <v>81</v>
      </c>
      <c r="N20" s="6">
        <v>45694</v>
      </c>
      <c r="O20" s="8">
        <v>2</v>
      </c>
    </row>
    <row r="21" spans="1:15" ht="15.75" thickBot="1" x14ac:dyDescent="0.3">
      <c r="A21" s="5" t="s">
        <v>89</v>
      </c>
      <c r="B21" s="6">
        <v>45857</v>
      </c>
      <c r="C21" s="5" t="s">
        <v>90</v>
      </c>
      <c r="D21" s="7" t="s">
        <v>17</v>
      </c>
      <c r="E21" s="7" t="s">
        <v>91</v>
      </c>
      <c r="F21" s="5" t="s">
        <v>35</v>
      </c>
      <c r="G21" s="5" t="s">
        <v>64</v>
      </c>
      <c r="H21" s="8">
        <v>5</v>
      </c>
      <c r="I21" s="8">
        <v>217.27</v>
      </c>
      <c r="J21" s="8">
        <v>20</v>
      </c>
      <c r="K21" s="8">
        <v>869.08</v>
      </c>
      <c r="L21" s="5" t="s">
        <v>29</v>
      </c>
      <c r="M21" s="5" t="s">
        <v>61</v>
      </c>
      <c r="N21" s="6">
        <v>45862</v>
      </c>
      <c r="O21" s="8">
        <v>4</v>
      </c>
    </row>
    <row r="22" spans="1:15" ht="15.75" thickBot="1" x14ac:dyDescent="0.3">
      <c r="A22" s="5" t="s">
        <v>92</v>
      </c>
      <c r="B22" s="6">
        <v>45936</v>
      </c>
      <c r="C22" s="5" t="s">
        <v>93</v>
      </c>
      <c r="D22" s="7" t="s">
        <v>33</v>
      </c>
      <c r="E22" s="7" t="s">
        <v>34</v>
      </c>
      <c r="F22" s="5" t="s">
        <v>19</v>
      </c>
      <c r="G22" s="5" t="s">
        <v>46</v>
      </c>
      <c r="H22" s="8">
        <v>10</v>
      </c>
      <c r="I22" s="8">
        <v>243.63</v>
      </c>
      <c r="J22" s="8">
        <v>20</v>
      </c>
      <c r="K22" s="8">
        <v>1949.04</v>
      </c>
      <c r="L22" s="5" t="s">
        <v>29</v>
      </c>
      <c r="M22" s="5" t="s">
        <v>61</v>
      </c>
      <c r="N22" s="10">
        <v>45819</v>
      </c>
      <c r="O22" s="11"/>
    </row>
    <row r="23" spans="1:15" ht="15.75" thickBot="1" x14ac:dyDescent="0.3">
      <c r="A23" s="5" t="s">
        <v>94</v>
      </c>
      <c r="B23" s="6">
        <v>45864</v>
      </c>
      <c r="C23" s="5" t="s">
        <v>95</v>
      </c>
      <c r="D23" s="7" t="s">
        <v>96</v>
      </c>
      <c r="E23" s="7" t="s">
        <v>52</v>
      </c>
      <c r="F23" s="7" t="s">
        <v>56</v>
      </c>
      <c r="G23" s="5" t="s">
        <v>28</v>
      </c>
      <c r="H23" s="8">
        <v>4</v>
      </c>
      <c r="I23" s="8">
        <v>293.67</v>
      </c>
      <c r="J23" s="8">
        <v>0</v>
      </c>
      <c r="K23" s="8">
        <v>1174.68</v>
      </c>
      <c r="L23" s="5" t="s">
        <v>65</v>
      </c>
      <c r="M23" s="5" t="s">
        <v>69</v>
      </c>
      <c r="N23" s="6">
        <v>45866</v>
      </c>
      <c r="O23" s="8">
        <v>5</v>
      </c>
    </row>
    <row r="24" spans="1:15" ht="15.75" thickBot="1" x14ac:dyDescent="0.3">
      <c r="A24" s="5" t="s">
        <v>97</v>
      </c>
      <c r="B24" s="6">
        <v>46000</v>
      </c>
      <c r="C24" s="5" t="s">
        <v>32</v>
      </c>
      <c r="D24" s="5" t="s">
        <v>55</v>
      </c>
      <c r="E24" s="5" t="s">
        <v>26</v>
      </c>
      <c r="F24" s="7" t="s">
        <v>27</v>
      </c>
      <c r="G24" s="5" t="s">
        <v>36</v>
      </c>
      <c r="H24" s="8">
        <v>4</v>
      </c>
      <c r="I24" s="8">
        <v>140.15</v>
      </c>
      <c r="J24" s="8">
        <v>150</v>
      </c>
      <c r="K24" s="8">
        <v>-280.3</v>
      </c>
      <c r="L24" s="5" t="s">
        <v>21</v>
      </c>
      <c r="M24" s="5" t="s">
        <v>61</v>
      </c>
      <c r="N24" s="6">
        <v>46012</v>
      </c>
      <c r="O24" s="8">
        <v>3</v>
      </c>
    </row>
    <row r="25" spans="1:15" ht="15.75" thickBot="1" x14ac:dyDescent="0.3">
      <c r="A25" s="5" t="s">
        <v>98</v>
      </c>
      <c r="B25" s="6">
        <v>45695</v>
      </c>
      <c r="C25" s="5" t="s">
        <v>99</v>
      </c>
      <c r="D25" s="7" t="s">
        <v>100</v>
      </c>
      <c r="E25" s="7" t="s">
        <v>44</v>
      </c>
      <c r="F25" s="5" t="s">
        <v>35</v>
      </c>
      <c r="G25" s="5" t="s">
        <v>20</v>
      </c>
      <c r="H25" s="8">
        <v>9</v>
      </c>
      <c r="I25" s="8">
        <v>139.94999999999999</v>
      </c>
      <c r="J25" s="8">
        <v>10</v>
      </c>
      <c r="K25" s="8">
        <v>1133.5999999999999</v>
      </c>
      <c r="L25" s="5" t="s">
        <v>29</v>
      </c>
      <c r="M25" s="7" t="s">
        <v>81</v>
      </c>
      <c r="N25" s="6">
        <v>45704</v>
      </c>
      <c r="O25" s="8">
        <v>1</v>
      </c>
    </row>
    <row r="26" spans="1:15" ht="15.75" thickBot="1" x14ac:dyDescent="0.3">
      <c r="A26" s="5" t="s">
        <v>101</v>
      </c>
      <c r="B26" s="6">
        <v>45992</v>
      </c>
      <c r="C26" s="5" t="s">
        <v>102</v>
      </c>
      <c r="D26" s="7" t="s">
        <v>33</v>
      </c>
      <c r="E26" s="7" t="s">
        <v>34</v>
      </c>
      <c r="F26" s="5" t="s">
        <v>19</v>
      </c>
      <c r="G26" s="5" t="s">
        <v>46</v>
      </c>
      <c r="H26" s="8">
        <v>9</v>
      </c>
      <c r="I26" s="8">
        <v>156.69999999999999</v>
      </c>
      <c r="J26" s="8">
        <v>0</v>
      </c>
      <c r="K26" s="8">
        <v>1410.3</v>
      </c>
      <c r="L26" s="7" t="s">
        <v>47</v>
      </c>
      <c r="M26" s="5" t="s">
        <v>69</v>
      </c>
      <c r="N26" s="6">
        <v>46001</v>
      </c>
      <c r="O26" s="8">
        <v>8</v>
      </c>
    </row>
    <row r="27" spans="1:15" ht="15.75" thickBot="1" x14ac:dyDescent="0.3">
      <c r="A27" s="5" t="s">
        <v>103</v>
      </c>
      <c r="B27" s="6">
        <v>45765</v>
      </c>
      <c r="C27" s="5" t="s">
        <v>104</v>
      </c>
      <c r="D27" s="5" t="s">
        <v>55</v>
      </c>
      <c r="E27" s="5" t="s">
        <v>26</v>
      </c>
      <c r="F27" s="7" t="s">
        <v>27</v>
      </c>
      <c r="G27" s="5" t="s">
        <v>36</v>
      </c>
      <c r="H27" s="8">
        <v>4</v>
      </c>
      <c r="I27" s="8">
        <v>346.87</v>
      </c>
      <c r="J27" s="8">
        <v>10</v>
      </c>
      <c r="K27" s="8">
        <v>1248.73</v>
      </c>
      <c r="L27" s="5" t="s">
        <v>21</v>
      </c>
      <c r="M27" s="5" t="s">
        <v>61</v>
      </c>
      <c r="N27" s="6">
        <v>45762</v>
      </c>
      <c r="O27" s="8">
        <v>5</v>
      </c>
    </row>
    <row r="28" spans="1:15" ht="15.75" thickBot="1" x14ac:dyDescent="0.3">
      <c r="A28" s="5" t="s">
        <v>105</v>
      </c>
      <c r="B28" s="12">
        <v>45658</v>
      </c>
      <c r="C28" s="5" t="s">
        <v>106</v>
      </c>
      <c r="D28" s="7" t="s">
        <v>25</v>
      </c>
      <c r="E28" s="5" t="s">
        <v>26</v>
      </c>
      <c r="F28" s="5" t="s">
        <v>19</v>
      </c>
      <c r="G28" s="5" t="s">
        <v>20</v>
      </c>
      <c r="H28" s="8">
        <v>0</v>
      </c>
      <c r="I28" s="8">
        <v>89.18</v>
      </c>
      <c r="J28" s="8">
        <v>15</v>
      </c>
      <c r="K28" s="8">
        <v>0</v>
      </c>
      <c r="L28" s="5" t="s">
        <v>21</v>
      </c>
      <c r="M28" s="5" t="s">
        <v>61</v>
      </c>
      <c r="N28" s="6">
        <v>45665</v>
      </c>
      <c r="O28" s="8">
        <v>5</v>
      </c>
    </row>
    <row r="29" spans="1:15" ht="15.75" thickBot="1" x14ac:dyDescent="0.3">
      <c r="A29" s="5" t="s">
        <v>107</v>
      </c>
      <c r="B29" s="6">
        <v>45956</v>
      </c>
      <c r="C29" s="5" t="s">
        <v>108</v>
      </c>
      <c r="D29" s="7" t="s">
        <v>72</v>
      </c>
      <c r="E29" s="7" t="s">
        <v>44</v>
      </c>
      <c r="F29" s="5" t="s">
        <v>45</v>
      </c>
      <c r="G29" s="5" t="s">
        <v>20</v>
      </c>
      <c r="H29" s="8">
        <v>7</v>
      </c>
      <c r="I29" s="8">
        <v>72.45</v>
      </c>
      <c r="J29" s="8">
        <v>10</v>
      </c>
      <c r="K29" s="8">
        <v>456.44</v>
      </c>
      <c r="L29" s="7" t="s">
        <v>47</v>
      </c>
      <c r="M29" s="7" t="s">
        <v>22</v>
      </c>
      <c r="N29" s="11"/>
      <c r="O29" s="8">
        <v>3</v>
      </c>
    </row>
    <row r="30" spans="1:15" ht="15.75" thickBot="1" x14ac:dyDescent="0.3">
      <c r="A30" s="5" t="s">
        <v>109</v>
      </c>
      <c r="B30" s="10">
        <v>45975</v>
      </c>
      <c r="C30" s="11"/>
      <c r="D30" s="7" t="s">
        <v>72</v>
      </c>
      <c r="E30" s="7" t="s">
        <v>91</v>
      </c>
      <c r="F30" s="7" t="s">
        <v>56</v>
      </c>
      <c r="G30" s="5" t="s">
        <v>20</v>
      </c>
      <c r="H30" s="8">
        <v>4</v>
      </c>
      <c r="I30" s="9">
        <v>433.66</v>
      </c>
      <c r="J30" s="8">
        <v>5</v>
      </c>
      <c r="K30" s="8">
        <v>1647.91</v>
      </c>
      <c r="L30" s="5" t="s">
        <v>110</v>
      </c>
      <c r="M30" s="7" t="s">
        <v>81</v>
      </c>
      <c r="N30" s="6">
        <v>45987</v>
      </c>
      <c r="O30" s="8">
        <v>4</v>
      </c>
    </row>
    <row r="31" spans="1:15" ht="15.75" thickBot="1" x14ac:dyDescent="0.3">
      <c r="A31" s="5" t="s">
        <v>49</v>
      </c>
      <c r="B31" s="6">
        <v>45931</v>
      </c>
      <c r="C31" s="5" t="s">
        <v>50</v>
      </c>
      <c r="D31" s="5" t="s">
        <v>39</v>
      </c>
      <c r="E31" s="5" t="s">
        <v>40</v>
      </c>
      <c r="F31" s="5" t="s">
        <v>35</v>
      </c>
      <c r="G31" s="5" t="s">
        <v>20</v>
      </c>
      <c r="H31" s="8">
        <v>3</v>
      </c>
      <c r="I31" s="8">
        <v>236.51</v>
      </c>
      <c r="J31" s="8">
        <v>10</v>
      </c>
      <c r="K31" s="8">
        <v>638.58000000000004</v>
      </c>
      <c r="L31" s="5" t="s">
        <v>21</v>
      </c>
      <c r="M31" s="7" t="s">
        <v>22</v>
      </c>
      <c r="N31" s="6">
        <v>45943</v>
      </c>
      <c r="O31" s="8">
        <v>5</v>
      </c>
    </row>
    <row r="32" spans="1:15" ht="15.75" thickBot="1" x14ac:dyDescent="0.3">
      <c r="A32" s="5" t="s">
        <v>111</v>
      </c>
      <c r="B32" s="6">
        <v>45853</v>
      </c>
      <c r="C32" s="5" t="s">
        <v>112</v>
      </c>
      <c r="D32" s="7" t="s">
        <v>33</v>
      </c>
      <c r="E32" s="7" t="s">
        <v>34</v>
      </c>
      <c r="F32" s="7" t="s">
        <v>27</v>
      </c>
      <c r="G32" s="5" t="s">
        <v>46</v>
      </c>
      <c r="H32" s="8">
        <v>8</v>
      </c>
      <c r="I32" s="8">
        <v>118.99</v>
      </c>
      <c r="J32" s="8">
        <v>15</v>
      </c>
      <c r="K32" s="8">
        <v>809.13</v>
      </c>
      <c r="L32" s="5" t="s">
        <v>29</v>
      </c>
      <c r="M32" s="7" t="s">
        <v>22</v>
      </c>
      <c r="N32" s="6">
        <v>45867</v>
      </c>
      <c r="O32" s="8">
        <v>3</v>
      </c>
    </row>
    <row r="33" spans="1:15" ht="15.75" thickBot="1" x14ac:dyDescent="0.3">
      <c r="A33" s="5" t="s">
        <v>113</v>
      </c>
      <c r="B33" s="5" t="s">
        <v>114</v>
      </c>
      <c r="C33" s="5" t="s">
        <v>115</v>
      </c>
      <c r="D33" s="5" t="s">
        <v>39</v>
      </c>
      <c r="E33" s="5" t="s">
        <v>40</v>
      </c>
      <c r="F33" s="5" t="s">
        <v>19</v>
      </c>
      <c r="G33" s="5" t="s">
        <v>46</v>
      </c>
      <c r="H33" s="8">
        <v>5</v>
      </c>
      <c r="I33" s="8">
        <v>182.06</v>
      </c>
      <c r="J33" s="8">
        <v>20</v>
      </c>
      <c r="K33" s="8">
        <v>728.24</v>
      </c>
      <c r="L33" s="5" t="s">
        <v>110</v>
      </c>
      <c r="M33" s="7" t="s">
        <v>22</v>
      </c>
      <c r="N33" s="6">
        <v>45831</v>
      </c>
      <c r="O33" s="8">
        <v>4</v>
      </c>
    </row>
    <row r="34" spans="1:15" ht="15.75" thickBot="1" x14ac:dyDescent="0.3">
      <c r="A34" s="5" t="s">
        <v>116</v>
      </c>
      <c r="B34" s="6">
        <v>45963</v>
      </c>
      <c r="C34" s="5" t="s">
        <v>117</v>
      </c>
      <c r="D34" s="7" t="s">
        <v>33</v>
      </c>
      <c r="E34" s="7" t="s">
        <v>34</v>
      </c>
      <c r="F34" s="5" t="s">
        <v>45</v>
      </c>
      <c r="G34" s="5" t="s">
        <v>36</v>
      </c>
      <c r="H34" s="8">
        <v>6</v>
      </c>
      <c r="I34" s="8">
        <v>223.83</v>
      </c>
      <c r="J34" s="8">
        <v>20</v>
      </c>
      <c r="K34" s="8">
        <v>1074.3800000000001</v>
      </c>
      <c r="L34" s="5" t="s">
        <v>110</v>
      </c>
      <c r="M34" s="5" t="s">
        <v>61</v>
      </c>
      <c r="N34" s="6">
        <v>45970</v>
      </c>
      <c r="O34" s="8">
        <v>1</v>
      </c>
    </row>
    <row r="35" spans="1:15" ht="15.75" thickBot="1" x14ac:dyDescent="0.3">
      <c r="A35" s="5" t="s">
        <v>118</v>
      </c>
      <c r="B35" s="6">
        <v>46009</v>
      </c>
      <c r="C35" s="5" t="s">
        <v>119</v>
      </c>
      <c r="D35" s="5" t="s">
        <v>39</v>
      </c>
      <c r="E35" s="5" t="s">
        <v>40</v>
      </c>
      <c r="F35" s="7" t="s">
        <v>27</v>
      </c>
      <c r="G35" s="5" t="s">
        <v>20</v>
      </c>
      <c r="H35" s="7">
        <v>6</v>
      </c>
      <c r="I35" s="8">
        <v>221.34</v>
      </c>
      <c r="J35" s="8">
        <v>10</v>
      </c>
      <c r="K35" s="8">
        <v>1195.24</v>
      </c>
      <c r="L35" s="5" t="s">
        <v>21</v>
      </c>
      <c r="M35" s="7" t="s">
        <v>30</v>
      </c>
      <c r="N35" s="6">
        <v>46021</v>
      </c>
      <c r="O35" s="8">
        <v>5</v>
      </c>
    </row>
    <row r="36" spans="1:15" ht="15.75" thickBot="1" x14ac:dyDescent="0.3">
      <c r="A36" s="5" t="s">
        <v>120</v>
      </c>
      <c r="B36" s="12">
        <v>45658</v>
      </c>
      <c r="C36" s="5" t="s">
        <v>121</v>
      </c>
      <c r="D36" s="7" t="s">
        <v>25</v>
      </c>
      <c r="E36" s="5" t="s">
        <v>26</v>
      </c>
      <c r="F36" s="7" t="s">
        <v>56</v>
      </c>
      <c r="G36" s="5" t="s">
        <v>64</v>
      </c>
      <c r="H36" s="8">
        <v>5</v>
      </c>
      <c r="I36" s="8">
        <v>281.66000000000003</v>
      </c>
      <c r="J36" s="8">
        <v>5</v>
      </c>
      <c r="K36" s="8">
        <v>1337.89</v>
      </c>
      <c r="L36" s="5" t="s">
        <v>29</v>
      </c>
      <c r="M36" s="5" t="s">
        <v>69</v>
      </c>
      <c r="N36" s="6">
        <v>45873</v>
      </c>
      <c r="O36" s="8">
        <v>4</v>
      </c>
    </row>
    <row r="37" spans="1:15" ht="15.75" thickBot="1" x14ac:dyDescent="0.3">
      <c r="A37" s="5" t="s">
        <v>122</v>
      </c>
      <c r="B37" s="6">
        <v>45658</v>
      </c>
      <c r="C37" s="5" t="s">
        <v>123</v>
      </c>
      <c r="D37" s="7" t="s">
        <v>51</v>
      </c>
      <c r="E37" s="7" t="s">
        <v>52</v>
      </c>
      <c r="F37" s="5" t="s">
        <v>86</v>
      </c>
      <c r="G37" s="5" t="s">
        <v>36</v>
      </c>
      <c r="H37" s="8">
        <v>4</v>
      </c>
      <c r="I37" s="8">
        <v>220.65</v>
      </c>
      <c r="J37" s="8">
        <v>20</v>
      </c>
      <c r="K37" s="8">
        <v>706.08</v>
      </c>
      <c r="L37" s="7" t="s">
        <v>57</v>
      </c>
      <c r="M37" s="7" t="s">
        <v>30</v>
      </c>
      <c r="N37" s="6">
        <v>45663</v>
      </c>
      <c r="O37" s="8">
        <v>5</v>
      </c>
    </row>
    <row r="38" spans="1:15" ht="15.75" thickBot="1" x14ac:dyDescent="0.3">
      <c r="A38" s="5" t="s">
        <v>124</v>
      </c>
      <c r="B38" s="6">
        <v>45995</v>
      </c>
      <c r="C38" s="5" t="s">
        <v>125</v>
      </c>
      <c r="D38" s="7" t="s">
        <v>43</v>
      </c>
      <c r="E38" s="7" t="s">
        <v>18</v>
      </c>
      <c r="F38" s="7" t="s">
        <v>27</v>
      </c>
      <c r="G38" s="5" t="s">
        <v>36</v>
      </c>
      <c r="H38" s="8">
        <v>9</v>
      </c>
      <c r="I38" s="8">
        <v>335.29</v>
      </c>
      <c r="J38" s="8">
        <v>20</v>
      </c>
      <c r="K38" s="8">
        <v>2414.09</v>
      </c>
      <c r="L38" s="5" t="s">
        <v>29</v>
      </c>
      <c r="M38" s="7" t="s">
        <v>30</v>
      </c>
      <c r="N38" s="6">
        <v>45997</v>
      </c>
      <c r="O38" s="8">
        <v>3</v>
      </c>
    </row>
    <row r="39" spans="1:15" ht="15.75" thickBot="1" x14ac:dyDescent="0.3">
      <c r="A39" s="5" t="s">
        <v>126</v>
      </c>
      <c r="B39" s="6">
        <v>45670</v>
      </c>
      <c r="C39" s="5" t="s">
        <v>127</v>
      </c>
      <c r="D39" s="7" t="s">
        <v>25</v>
      </c>
      <c r="E39" s="5" t="s">
        <v>26</v>
      </c>
      <c r="F39" s="7" t="s">
        <v>60</v>
      </c>
      <c r="G39" s="5" t="s">
        <v>20</v>
      </c>
      <c r="H39" s="8">
        <v>-2</v>
      </c>
      <c r="I39" s="8">
        <v>309.52</v>
      </c>
      <c r="J39" s="8">
        <v>0</v>
      </c>
      <c r="K39" s="8">
        <v>-619.04</v>
      </c>
      <c r="L39" s="5" t="s">
        <v>29</v>
      </c>
      <c r="M39" s="7" t="s">
        <v>30</v>
      </c>
      <c r="N39" s="6">
        <v>45671</v>
      </c>
      <c r="O39" s="8">
        <v>4</v>
      </c>
    </row>
    <row r="40" spans="1:15" ht="15.75" thickBot="1" x14ac:dyDescent="0.3">
      <c r="A40" s="5" t="s">
        <v>128</v>
      </c>
      <c r="B40" s="6">
        <v>45733</v>
      </c>
      <c r="C40" s="5" t="s">
        <v>129</v>
      </c>
      <c r="D40" s="5" t="s">
        <v>55</v>
      </c>
      <c r="E40" s="5" t="s">
        <v>26</v>
      </c>
      <c r="F40" s="7" t="s">
        <v>60</v>
      </c>
      <c r="G40" s="5" t="s">
        <v>46</v>
      </c>
      <c r="H40" s="8">
        <v>2</v>
      </c>
      <c r="I40" s="8">
        <v>391.43</v>
      </c>
      <c r="J40" s="8">
        <v>5</v>
      </c>
      <c r="K40" s="8">
        <v>743.72</v>
      </c>
      <c r="L40" s="5" t="s">
        <v>29</v>
      </c>
      <c r="M40" s="5" t="s">
        <v>61</v>
      </c>
      <c r="N40" s="6">
        <v>45744</v>
      </c>
      <c r="O40" s="8">
        <v>2</v>
      </c>
    </row>
    <row r="41" spans="1:15" ht="15.75" thickBot="1" x14ac:dyDescent="0.3">
      <c r="A41" s="5" t="s">
        <v>130</v>
      </c>
      <c r="B41" s="6">
        <v>45929</v>
      </c>
      <c r="C41" s="5" t="s">
        <v>131</v>
      </c>
      <c r="D41" s="7" t="s">
        <v>25</v>
      </c>
      <c r="E41" s="5" t="s">
        <v>26</v>
      </c>
      <c r="F41" s="7" t="s">
        <v>60</v>
      </c>
      <c r="G41" s="5" t="s">
        <v>28</v>
      </c>
      <c r="H41" s="8">
        <v>6</v>
      </c>
      <c r="I41" s="8">
        <v>475.52</v>
      </c>
      <c r="J41" s="8">
        <v>15</v>
      </c>
      <c r="K41" s="8">
        <v>2425.15</v>
      </c>
      <c r="L41" s="7" t="s">
        <v>57</v>
      </c>
      <c r="M41" s="7" t="s">
        <v>22</v>
      </c>
      <c r="N41" s="6">
        <v>45938</v>
      </c>
      <c r="O41" s="8">
        <v>5</v>
      </c>
    </row>
    <row r="42" spans="1:15" ht="15.75" thickBot="1" x14ac:dyDescent="0.3">
      <c r="A42" s="5" t="s">
        <v>132</v>
      </c>
      <c r="B42" s="6">
        <v>45984</v>
      </c>
      <c r="C42" s="5" t="s">
        <v>133</v>
      </c>
      <c r="D42" s="5" t="s">
        <v>39</v>
      </c>
      <c r="E42" s="5" t="s">
        <v>40</v>
      </c>
      <c r="F42" s="5" t="s">
        <v>35</v>
      </c>
      <c r="G42" s="5" t="s">
        <v>28</v>
      </c>
      <c r="H42" s="8">
        <v>8</v>
      </c>
      <c r="I42" s="8">
        <v>317.11</v>
      </c>
      <c r="J42" s="8">
        <v>10</v>
      </c>
      <c r="K42" s="8">
        <v>2283.19</v>
      </c>
      <c r="L42" s="5" t="s">
        <v>29</v>
      </c>
      <c r="M42" s="5" t="s">
        <v>48</v>
      </c>
      <c r="N42" s="6">
        <v>45989</v>
      </c>
      <c r="O42" s="8">
        <v>4</v>
      </c>
    </row>
    <row r="43" spans="1:15" ht="15.75" thickBot="1" x14ac:dyDescent="0.3">
      <c r="A43" s="5" t="s">
        <v>134</v>
      </c>
      <c r="B43" s="6">
        <v>45994</v>
      </c>
      <c r="C43" s="5" t="s">
        <v>135</v>
      </c>
      <c r="D43" s="7" t="s">
        <v>96</v>
      </c>
      <c r="E43" s="7" t="s">
        <v>52</v>
      </c>
      <c r="F43" s="5" t="s">
        <v>35</v>
      </c>
      <c r="G43" s="5" t="s">
        <v>20</v>
      </c>
      <c r="H43" s="8">
        <v>7</v>
      </c>
      <c r="I43" s="8">
        <v>350.04</v>
      </c>
      <c r="J43" s="8">
        <v>5</v>
      </c>
      <c r="K43" s="8">
        <v>2327.77</v>
      </c>
      <c r="L43" s="5" t="s">
        <v>65</v>
      </c>
      <c r="M43" s="7" t="s">
        <v>81</v>
      </c>
      <c r="N43" s="10">
        <v>45731</v>
      </c>
      <c r="O43" s="11"/>
    </row>
    <row r="44" spans="1:15" ht="15.75" thickBot="1" x14ac:dyDescent="0.3">
      <c r="A44" s="5" t="s">
        <v>136</v>
      </c>
      <c r="B44" s="6">
        <v>45857</v>
      </c>
      <c r="C44" s="5" t="s">
        <v>137</v>
      </c>
      <c r="D44" s="7" t="s">
        <v>17</v>
      </c>
      <c r="E44" s="7" t="s">
        <v>18</v>
      </c>
      <c r="F44" s="5" t="s">
        <v>35</v>
      </c>
      <c r="G44" s="5" t="s">
        <v>28</v>
      </c>
      <c r="H44" s="8">
        <v>1</v>
      </c>
      <c r="I44" s="8">
        <v>429.8</v>
      </c>
      <c r="J44" s="8">
        <v>20</v>
      </c>
      <c r="K44" s="8">
        <v>343.84</v>
      </c>
      <c r="L44" s="5" t="s">
        <v>110</v>
      </c>
      <c r="M44" s="7" t="s">
        <v>81</v>
      </c>
      <c r="N44" s="6">
        <v>45870</v>
      </c>
      <c r="O44" s="8">
        <v>4</v>
      </c>
    </row>
    <row r="45" spans="1:15" ht="15.75" thickBot="1" x14ac:dyDescent="0.3">
      <c r="A45" s="5" t="s">
        <v>138</v>
      </c>
      <c r="B45" s="6">
        <v>45966</v>
      </c>
      <c r="C45" s="5" t="s">
        <v>139</v>
      </c>
      <c r="D45" s="7" t="s">
        <v>25</v>
      </c>
      <c r="E45" s="5" t="s">
        <v>26</v>
      </c>
      <c r="F45" s="7" t="s">
        <v>56</v>
      </c>
      <c r="G45" s="5" t="s">
        <v>64</v>
      </c>
      <c r="H45" s="8">
        <v>4</v>
      </c>
      <c r="I45" s="9">
        <v>143.74</v>
      </c>
      <c r="J45" s="8">
        <v>15</v>
      </c>
      <c r="K45" s="8">
        <v>488.72</v>
      </c>
      <c r="L45" s="7" t="s">
        <v>47</v>
      </c>
      <c r="M45" s="7" t="s">
        <v>81</v>
      </c>
      <c r="N45" s="6">
        <v>45970</v>
      </c>
      <c r="O45" s="8">
        <v>1</v>
      </c>
    </row>
    <row r="46" spans="1:15" ht="15.75" thickBot="1" x14ac:dyDescent="0.3">
      <c r="A46" s="5" t="s">
        <v>116</v>
      </c>
      <c r="B46" s="6">
        <v>45963</v>
      </c>
      <c r="C46" s="5" t="s">
        <v>117</v>
      </c>
      <c r="D46" s="7" t="s">
        <v>33</v>
      </c>
      <c r="E46" s="7" t="s">
        <v>34</v>
      </c>
      <c r="F46" s="5" t="s">
        <v>45</v>
      </c>
      <c r="G46" s="5" t="s">
        <v>36</v>
      </c>
      <c r="H46" s="8">
        <v>6</v>
      </c>
      <c r="I46" s="8">
        <v>223.83</v>
      </c>
      <c r="J46" s="8">
        <v>20</v>
      </c>
      <c r="K46" s="8">
        <v>1074.3800000000001</v>
      </c>
      <c r="L46" s="5" t="s">
        <v>110</v>
      </c>
      <c r="M46" s="5" t="s">
        <v>61</v>
      </c>
      <c r="N46" s="6">
        <v>45970</v>
      </c>
      <c r="O46" s="8">
        <v>1</v>
      </c>
    </row>
    <row r="47" spans="1:15" ht="15.75" thickBot="1" x14ac:dyDescent="0.3">
      <c r="A47" s="5" t="s">
        <v>140</v>
      </c>
      <c r="B47" s="6">
        <v>45976</v>
      </c>
      <c r="C47" s="5" t="s">
        <v>141</v>
      </c>
      <c r="D47" s="7" t="s">
        <v>43</v>
      </c>
      <c r="E47" s="7" t="s">
        <v>91</v>
      </c>
      <c r="F47" s="7" t="s">
        <v>27</v>
      </c>
      <c r="G47" s="5" t="s">
        <v>46</v>
      </c>
      <c r="H47" s="8">
        <v>7</v>
      </c>
      <c r="I47" s="8">
        <v>300.02999999999997</v>
      </c>
      <c r="J47" s="8">
        <v>0</v>
      </c>
      <c r="K47" s="8">
        <v>2100.21</v>
      </c>
      <c r="L47" s="7" t="s">
        <v>57</v>
      </c>
      <c r="M47" s="7" t="s">
        <v>22</v>
      </c>
      <c r="N47" s="6">
        <v>45985</v>
      </c>
      <c r="O47" s="8">
        <v>1</v>
      </c>
    </row>
    <row r="48" spans="1:15" ht="15.75" thickBot="1" x14ac:dyDescent="0.3">
      <c r="A48" s="5" t="s">
        <v>142</v>
      </c>
      <c r="B48" s="6">
        <v>45766</v>
      </c>
      <c r="C48" s="5" t="s">
        <v>123</v>
      </c>
      <c r="D48" s="5" t="s">
        <v>55</v>
      </c>
      <c r="E48" s="5" t="s">
        <v>26</v>
      </c>
      <c r="F48" s="7" t="s">
        <v>27</v>
      </c>
      <c r="G48" s="5" t="s">
        <v>36</v>
      </c>
      <c r="H48" s="8">
        <v>6</v>
      </c>
      <c r="I48" s="8">
        <v>383</v>
      </c>
      <c r="J48" s="8">
        <v>150</v>
      </c>
      <c r="K48" s="8">
        <v>-1149</v>
      </c>
      <c r="L48" s="5" t="s">
        <v>21</v>
      </c>
      <c r="M48" s="7" t="s">
        <v>81</v>
      </c>
      <c r="N48" s="6">
        <v>45774</v>
      </c>
      <c r="O48" s="8">
        <v>3</v>
      </c>
    </row>
    <row r="49" spans="1:15" ht="15.75" thickBot="1" x14ac:dyDescent="0.3">
      <c r="A49" s="5" t="s">
        <v>143</v>
      </c>
      <c r="B49" s="6">
        <v>45837</v>
      </c>
      <c r="C49" s="5" t="s">
        <v>93</v>
      </c>
      <c r="D49" s="7" t="s">
        <v>33</v>
      </c>
      <c r="E49" s="7" t="s">
        <v>34</v>
      </c>
      <c r="F49" s="5" t="s">
        <v>45</v>
      </c>
      <c r="G49" s="5" t="s">
        <v>46</v>
      </c>
      <c r="H49" s="8">
        <v>1</v>
      </c>
      <c r="I49" s="8">
        <v>379.57</v>
      </c>
      <c r="J49" s="8">
        <v>5</v>
      </c>
      <c r="K49" s="8">
        <v>360.59</v>
      </c>
      <c r="L49" s="5" t="s">
        <v>29</v>
      </c>
      <c r="M49" s="7" t="s">
        <v>22</v>
      </c>
      <c r="N49" s="6">
        <v>45841</v>
      </c>
      <c r="O49" s="8">
        <v>2</v>
      </c>
    </row>
    <row r="50" spans="1:15" ht="15.75" thickBot="1" x14ac:dyDescent="0.3">
      <c r="A50" s="5" t="s">
        <v>144</v>
      </c>
      <c r="B50" s="6">
        <v>45769</v>
      </c>
      <c r="C50" s="5" t="s">
        <v>145</v>
      </c>
      <c r="D50" s="7" t="s">
        <v>17</v>
      </c>
      <c r="E50" s="7" t="s">
        <v>44</v>
      </c>
      <c r="F50" s="5" t="s">
        <v>19</v>
      </c>
      <c r="G50" s="5" t="s">
        <v>36</v>
      </c>
      <c r="H50" s="8">
        <v>6</v>
      </c>
      <c r="I50" s="8">
        <v>92.22</v>
      </c>
      <c r="J50" s="8">
        <v>20</v>
      </c>
      <c r="K50" s="8">
        <v>442.66</v>
      </c>
      <c r="L50" s="5" t="s">
        <v>65</v>
      </c>
      <c r="M50" s="5" t="s">
        <v>61</v>
      </c>
      <c r="N50" s="6">
        <v>45777</v>
      </c>
      <c r="O50" s="8">
        <v>1</v>
      </c>
    </row>
    <row r="51" spans="1:15" ht="15.75" thickBot="1" x14ac:dyDescent="0.3">
      <c r="A51" s="5" t="s">
        <v>146</v>
      </c>
      <c r="B51" s="6">
        <v>45861</v>
      </c>
      <c r="C51" s="5" t="s">
        <v>50</v>
      </c>
      <c r="D51" s="7" t="s">
        <v>33</v>
      </c>
      <c r="E51" s="7" t="s">
        <v>34</v>
      </c>
      <c r="F51" s="7" t="s">
        <v>56</v>
      </c>
      <c r="G51" s="5" t="s">
        <v>20</v>
      </c>
      <c r="H51" s="8">
        <v>2</v>
      </c>
      <c r="I51" s="8">
        <v>300.13</v>
      </c>
      <c r="J51" s="8">
        <v>5</v>
      </c>
      <c r="K51" s="8">
        <v>570.25</v>
      </c>
      <c r="L51" s="5" t="s">
        <v>65</v>
      </c>
      <c r="M51" s="5" t="s">
        <v>61</v>
      </c>
      <c r="N51" s="6">
        <v>45873</v>
      </c>
      <c r="O51" s="8">
        <v>1</v>
      </c>
    </row>
    <row r="52" spans="1:15" ht="15.75" thickBot="1" x14ac:dyDescent="0.3">
      <c r="A52" s="5" t="s">
        <v>147</v>
      </c>
      <c r="B52" s="6">
        <v>45930</v>
      </c>
      <c r="C52" s="5" t="s">
        <v>148</v>
      </c>
      <c r="D52" s="7" t="s">
        <v>25</v>
      </c>
      <c r="E52" s="5" t="s">
        <v>26</v>
      </c>
      <c r="F52" s="5" t="s">
        <v>86</v>
      </c>
      <c r="G52" s="5" t="s">
        <v>36</v>
      </c>
      <c r="H52" s="7">
        <v>2</v>
      </c>
      <c r="I52" s="8">
        <v>257.92</v>
      </c>
      <c r="J52" s="8">
        <v>10</v>
      </c>
      <c r="K52" s="8">
        <v>464.26</v>
      </c>
      <c r="L52" s="5" t="s">
        <v>21</v>
      </c>
      <c r="M52" s="7" t="s">
        <v>81</v>
      </c>
      <c r="N52" s="6">
        <v>45937</v>
      </c>
      <c r="O52" s="8">
        <v>8</v>
      </c>
    </row>
    <row r="53" spans="1:15" ht="15.75" thickBot="1" x14ac:dyDescent="0.3">
      <c r="A53" s="5" t="s">
        <v>149</v>
      </c>
      <c r="B53" s="6">
        <v>45880</v>
      </c>
      <c r="C53" s="5" t="s">
        <v>150</v>
      </c>
      <c r="D53" s="5" t="s">
        <v>55</v>
      </c>
      <c r="E53" s="5" t="s">
        <v>26</v>
      </c>
      <c r="F53" s="7" t="s">
        <v>27</v>
      </c>
      <c r="G53" s="5" t="s">
        <v>28</v>
      </c>
      <c r="H53" s="8">
        <v>5</v>
      </c>
      <c r="I53" s="8">
        <v>311.8</v>
      </c>
      <c r="J53" s="8">
        <v>20</v>
      </c>
      <c r="K53" s="8">
        <v>1247.2</v>
      </c>
      <c r="L53" s="7" t="s">
        <v>47</v>
      </c>
      <c r="M53" s="5" t="s">
        <v>69</v>
      </c>
      <c r="N53" s="6">
        <v>45883</v>
      </c>
      <c r="O53" s="8">
        <v>4</v>
      </c>
    </row>
    <row r="54" spans="1:15" ht="15.75" thickBot="1" x14ac:dyDescent="0.3">
      <c r="A54" s="5" t="s">
        <v>151</v>
      </c>
      <c r="B54" s="5" t="s">
        <v>152</v>
      </c>
      <c r="C54" s="5" t="s">
        <v>153</v>
      </c>
      <c r="D54" s="7" t="s">
        <v>51</v>
      </c>
      <c r="E54" s="7" t="s">
        <v>52</v>
      </c>
      <c r="F54" s="7" t="s">
        <v>27</v>
      </c>
      <c r="G54" s="5" t="s">
        <v>20</v>
      </c>
      <c r="H54" s="8">
        <v>8</v>
      </c>
      <c r="I54" s="8">
        <v>289.23</v>
      </c>
      <c r="J54" s="8">
        <v>15</v>
      </c>
      <c r="K54" s="8">
        <v>1966.76</v>
      </c>
      <c r="L54" s="5" t="s">
        <v>110</v>
      </c>
      <c r="M54" s="7" t="s">
        <v>22</v>
      </c>
      <c r="N54" s="6">
        <v>45797</v>
      </c>
      <c r="O54" s="8">
        <v>3</v>
      </c>
    </row>
    <row r="55" spans="1:15" ht="15.75" thickBot="1" x14ac:dyDescent="0.3">
      <c r="A55" s="5" t="s">
        <v>154</v>
      </c>
      <c r="B55" s="6">
        <v>45832</v>
      </c>
      <c r="C55" s="5" t="s">
        <v>155</v>
      </c>
      <c r="D55" s="7" t="s">
        <v>43</v>
      </c>
      <c r="E55" s="7" t="s">
        <v>91</v>
      </c>
      <c r="F55" s="7" t="s">
        <v>56</v>
      </c>
      <c r="G55" s="5" t="s">
        <v>28</v>
      </c>
      <c r="H55" s="8">
        <v>5</v>
      </c>
      <c r="I55" s="8">
        <v>282.33999999999997</v>
      </c>
      <c r="J55" s="8">
        <v>20</v>
      </c>
      <c r="K55" s="8">
        <v>1129.3599999999999</v>
      </c>
      <c r="L55" s="7" t="s">
        <v>57</v>
      </c>
      <c r="M55" s="7" t="s">
        <v>81</v>
      </c>
      <c r="N55" s="6">
        <v>45837</v>
      </c>
      <c r="O55" s="8">
        <v>2</v>
      </c>
    </row>
    <row r="56" spans="1:15" ht="15.75" thickBot="1" x14ac:dyDescent="0.3">
      <c r="A56" s="5" t="s">
        <v>156</v>
      </c>
      <c r="B56" s="6">
        <v>45988</v>
      </c>
      <c r="C56" s="5" t="s">
        <v>157</v>
      </c>
      <c r="D56" s="7" t="s">
        <v>51</v>
      </c>
      <c r="E56" s="7" t="s">
        <v>52</v>
      </c>
      <c r="F56" s="7" t="s">
        <v>56</v>
      </c>
      <c r="G56" s="5" t="s">
        <v>64</v>
      </c>
      <c r="H56" s="8">
        <v>0</v>
      </c>
      <c r="I56" s="8">
        <v>398.54</v>
      </c>
      <c r="J56" s="8">
        <v>0</v>
      </c>
      <c r="K56" s="8">
        <v>0</v>
      </c>
      <c r="L56" s="5" t="s">
        <v>29</v>
      </c>
      <c r="M56" s="5" t="s">
        <v>48</v>
      </c>
      <c r="N56" s="6">
        <v>46000</v>
      </c>
      <c r="O56" s="8">
        <v>3</v>
      </c>
    </row>
    <row r="57" spans="1:15" ht="15.75" thickBot="1" x14ac:dyDescent="0.3">
      <c r="A57" s="5" t="s">
        <v>158</v>
      </c>
      <c r="B57" s="6">
        <v>45929</v>
      </c>
      <c r="C57" s="5" t="s">
        <v>159</v>
      </c>
      <c r="D57" s="7" t="s">
        <v>72</v>
      </c>
      <c r="E57" s="7" t="s">
        <v>44</v>
      </c>
      <c r="F57" s="5" t="s">
        <v>45</v>
      </c>
      <c r="G57" s="5" t="s">
        <v>64</v>
      </c>
      <c r="H57" s="8">
        <v>9</v>
      </c>
      <c r="I57" s="8">
        <v>172.09</v>
      </c>
      <c r="J57" s="8">
        <v>15</v>
      </c>
      <c r="K57" s="8">
        <v>1316.49</v>
      </c>
      <c r="L57" s="5" t="s">
        <v>21</v>
      </c>
      <c r="M57" s="7" t="s">
        <v>30</v>
      </c>
      <c r="N57" s="6">
        <v>45935</v>
      </c>
      <c r="O57" s="8">
        <v>3</v>
      </c>
    </row>
    <row r="58" spans="1:15" ht="15.75" thickBot="1" x14ac:dyDescent="0.3">
      <c r="A58" s="5" t="s">
        <v>160</v>
      </c>
      <c r="B58" s="6">
        <v>46011</v>
      </c>
      <c r="C58" s="5" t="s">
        <v>161</v>
      </c>
      <c r="D58" s="7" t="s">
        <v>17</v>
      </c>
      <c r="E58" s="7" t="s">
        <v>18</v>
      </c>
      <c r="F58" s="7" t="s">
        <v>27</v>
      </c>
      <c r="G58" s="5" t="s">
        <v>20</v>
      </c>
      <c r="H58" s="8">
        <v>-2</v>
      </c>
      <c r="I58" s="8">
        <v>371.92</v>
      </c>
      <c r="J58" s="8">
        <v>10</v>
      </c>
      <c r="K58" s="8">
        <v>-669.46</v>
      </c>
      <c r="L58" s="5" t="s">
        <v>29</v>
      </c>
      <c r="M58" s="13" t="s">
        <v>48</v>
      </c>
      <c r="N58" s="11"/>
      <c r="O58" s="8">
        <v>5</v>
      </c>
    </row>
    <row r="59" spans="1:15" ht="15.75" thickBot="1" x14ac:dyDescent="0.3">
      <c r="A59" s="5" t="s">
        <v>162</v>
      </c>
      <c r="B59" s="6">
        <v>45665</v>
      </c>
      <c r="C59" s="5" t="s">
        <v>163</v>
      </c>
      <c r="D59" s="5" t="s">
        <v>39</v>
      </c>
      <c r="E59" s="5" t="s">
        <v>40</v>
      </c>
      <c r="F59" s="5" t="s">
        <v>45</v>
      </c>
      <c r="G59" s="5" t="s">
        <v>28</v>
      </c>
      <c r="H59" s="8">
        <v>3</v>
      </c>
      <c r="I59" s="8">
        <v>144.41</v>
      </c>
      <c r="J59" s="8">
        <v>0</v>
      </c>
      <c r="K59" s="8">
        <v>433.23</v>
      </c>
      <c r="L59" s="7" t="s">
        <v>47</v>
      </c>
      <c r="M59" s="7" t="s">
        <v>81</v>
      </c>
      <c r="N59" s="6">
        <v>45677</v>
      </c>
      <c r="O59" s="8">
        <v>5</v>
      </c>
    </row>
    <row r="60" spans="1:15" ht="15.75" thickBot="1" x14ac:dyDescent="0.3">
      <c r="A60" s="5" t="s">
        <v>164</v>
      </c>
      <c r="B60" s="10">
        <v>45803</v>
      </c>
      <c r="C60" s="11"/>
      <c r="D60" s="5" t="s">
        <v>55</v>
      </c>
      <c r="E60" s="5" t="s">
        <v>26</v>
      </c>
      <c r="F60" s="7" t="s">
        <v>27</v>
      </c>
      <c r="G60" s="5" t="s">
        <v>64</v>
      </c>
      <c r="H60" s="8">
        <v>8</v>
      </c>
      <c r="I60" s="9">
        <v>176.95</v>
      </c>
      <c r="J60" s="8">
        <v>0</v>
      </c>
      <c r="K60" s="8">
        <v>1415.6</v>
      </c>
      <c r="L60" s="5" t="s">
        <v>21</v>
      </c>
      <c r="M60" s="7" t="s">
        <v>81</v>
      </c>
      <c r="N60" s="6">
        <v>45811</v>
      </c>
      <c r="O60" s="8">
        <v>3</v>
      </c>
    </row>
    <row r="61" spans="1:15" ht="15.75" thickBot="1" x14ac:dyDescent="0.3">
      <c r="A61" s="5" t="s">
        <v>165</v>
      </c>
      <c r="B61" s="6">
        <v>46009</v>
      </c>
      <c r="C61" s="5" t="s">
        <v>166</v>
      </c>
      <c r="D61" s="7" t="s">
        <v>51</v>
      </c>
      <c r="E61" s="7" t="s">
        <v>52</v>
      </c>
      <c r="F61" s="7" t="s">
        <v>60</v>
      </c>
      <c r="G61" s="5" t="s">
        <v>20</v>
      </c>
      <c r="H61" s="8">
        <v>3</v>
      </c>
      <c r="I61" s="8">
        <v>407.46</v>
      </c>
      <c r="J61" s="8">
        <v>10</v>
      </c>
      <c r="K61" s="8">
        <v>1100.1400000000001</v>
      </c>
      <c r="L61" s="7" t="s">
        <v>57</v>
      </c>
      <c r="M61" s="5" t="s">
        <v>69</v>
      </c>
      <c r="N61" s="6">
        <v>46010</v>
      </c>
      <c r="O61" s="8">
        <v>1</v>
      </c>
    </row>
    <row r="62" spans="1:15" ht="15.75" thickBot="1" x14ac:dyDescent="0.3">
      <c r="A62" s="5" t="s">
        <v>167</v>
      </c>
      <c r="B62" s="6">
        <v>45925</v>
      </c>
      <c r="C62" s="5" t="s">
        <v>168</v>
      </c>
      <c r="D62" s="7" t="s">
        <v>33</v>
      </c>
      <c r="E62" s="7" t="s">
        <v>34</v>
      </c>
      <c r="F62" s="7" t="s">
        <v>60</v>
      </c>
      <c r="G62" s="5" t="s">
        <v>64</v>
      </c>
      <c r="H62" s="8">
        <v>8</v>
      </c>
      <c r="I62" s="8">
        <v>155.69999999999999</v>
      </c>
      <c r="J62" s="8">
        <v>20</v>
      </c>
      <c r="K62" s="8">
        <v>996.48</v>
      </c>
      <c r="L62" s="5" t="s">
        <v>21</v>
      </c>
      <c r="M62" s="5" t="s">
        <v>69</v>
      </c>
      <c r="N62" s="6">
        <v>45932</v>
      </c>
      <c r="O62" s="8">
        <v>4</v>
      </c>
    </row>
    <row r="63" spans="1:15" ht="15.75" thickBot="1" x14ac:dyDescent="0.3">
      <c r="A63" s="5" t="s">
        <v>169</v>
      </c>
      <c r="B63" s="6">
        <v>45766</v>
      </c>
      <c r="C63" s="5" t="s">
        <v>157</v>
      </c>
      <c r="D63" s="7" t="s">
        <v>17</v>
      </c>
      <c r="E63" s="7" t="s">
        <v>18</v>
      </c>
      <c r="F63" s="5" t="s">
        <v>86</v>
      </c>
      <c r="G63" s="5" t="s">
        <v>46</v>
      </c>
      <c r="H63" s="8">
        <v>3</v>
      </c>
      <c r="I63" s="8">
        <v>127.53</v>
      </c>
      <c r="J63" s="8">
        <v>20</v>
      </c>
      <c r="K63" s="8">
        <v>306.07</v>
      </c>
      <c r="L63" s="7" t="s">
        <v>57</v>
      </c>
      <c r="M63" s="7" t="s">
        <v>30</v>
      </c>
      <c r="N63" s="6">
        <v>45771</v>
      </c>
      <c r="O63" s="8">
        <v>1</v>
      </c>
    </row>
    <row r="64" spans="1:15" ht="15.75" thickBot="1" x14ac:dyDescent="0.3">
      <c r="A64" s="5" t="s">
        <v>170</v>
      </c>
      <c r="B64" s="5" t="s">
        <v>171</v>
      </c>
      <c r="C64" s="5" t="s">
        <v>133</v>
      </c>
      <c r="D64" s="7" t="s">
        <v>51</v>
      </c>
      <c r="E64" s="7" t="s">
        <v>52</v>
      </c>
      <c r="F64" s="5" t="s">
        <v>19</v>
      </c>
      <c r="G64" s="5" t="s">
        <v>36</v>
      </c>
      <c r="H64" s="8">
        <v>8</v>
      </c>
      <c r="I64" s="8">
        <v>44.88</v>
      </c>
      <c r="J64" s="8">
        <v>5</v>
      </c>
      <c r="K64" s="8">
        <v>341.09</v>
      </c>
      <c r="L64" s="5" t="s">
        <v>65</v>
      </c>
      <c r="M64" s="7" t="s">
        <v>22</v>
      </c>
      <c r="N64" s="10">
        <v>45781</v>
      </c>
      <c r="O64" s="11"/>
    </row>
    <row r="65" spans="1:15" ht="15.75" thickBot="1" x14ac:dyDescent="0.3">
      <c r="A65" s="5" t="s">
        <v>172</v>
      </c>
      <c r="B65" s="6">
        <v>45694</v>
      </c>
      <c r="C65" s="5" t="s">
        <v>173</v>
      </c>
      <c r="D65" s="5" t="s">
        <v>55</v>
      </c>
      <c r="E65" s="5" t="s">
        <v>26</v>
      </c>
      <c r="F65" s="5" t="s">
        <v>86</v>
      </c>
      <c r="G65" s="5" t="s">
        <v>20</v>
      </c>
      <c r="H65" s="8">
        <v>5</v>
      </c>
      <c r="I65" s="8">
        <v>301.57</v>
      </c>
      <c r="J65" s="8">
        <v>20</v>
      </c>
      <c r="K65" s="8">
        <v>1206.28</v>
      </c>
      <c r="L65" s="7" t="s">
        <v>47</v>
      </c>
      <c r="M65" s="5" t="s">
        <v>48</v>
      </c>
      <c r="N65" s="6">
        <v>45695</v>
      </c>
      <c r="O65" s="8">
        <v>3</v>
      </c>
    </row>
    <row r="66" spans="1:15" ht="15.75" thickBot="1" x14ac:dyDescent="0.3">
      <c r="A66" s="5" t="s">
        <v>174</v>
      </c>
      <c r="B66" s="6">
        <v>45910</v>
      </c>
      <c r="C66" s="5" t="s">
        <v>175</v>
      </c>
      <c r="D66" s="7" t="s">
        <v>33</v>
      </c>
      <c r="E66" s="7" t="s">
        <v>34</v>
      </c>
      <c r="F66" s="5" t="s">
        <v>19</v>
      </c>
      <c r="G66" s="5" t="s">
        <v>46</v>
      </c>
      <c r="H66" s="8">
        <v>10</v>
      </c>
      <c r="I66" s="8">
        <v>29.53</v>
      </c>
      <c r="J66" s="8">
        <v>15</v>
      </c>
      <c r="K66" s="8">
        <v>251</v>
      </c>
      <c r="L66" s="5" t="s">
        <v>29</v>
      </c>
      <c r="M66" s="7" t="s">
        <v>30</v>
      </c>
      <c r="N66" s="6">
        <v>45918</v>
      </c>
      <c r="O66" s="8">
        <v>3</v>
      </c>
    </row>
    <row r="67" spans="1:15" ht="15.75" thickBot="1" x14ac:dyDescent="0.3">
      <c r="A67" s="5" t="s">
        <v>176</v>
      </c>
      <c r="B67" s="6">
        <v>45953</v>
      </c>
      <c r="C67" s="5" t="s">
        <v>177</v>
      </c>
      <c r="D67" s="7" t="s">
        <v>17</v>
      </c>
      <c r="E67" s="7" t="s">
        <v>91</v>
      </c>
      <c r="F67" s="5" t="s">
        <v>86</v>
      </c>
      <c r="G67" s="5" t="s">
        <v>20</v>
      </c>
      <c r="H67" s="8">
        <v>8</v>
      </c>
      <c r="I67" s="8">
        <v>264.29000000000002</v>
      </c>
      <c r="J67" s="8">
        <v>15</v>
      </c>
      <c r="K67" s="8">
        <v>1797.17</v>
      </c>
      <c r="L67" s="7" t="s">
        <v>47</v>
      </c>
      <c r="M67" s="7" t="s">
        <v>81</v>
      </c>
      <c r="N67" s="6">
        <v>45954</v>
      </c>
      <c r="O67" s="8">
        <v>3</v>
      </c>
    </row>
    <row r="68" spans="1:15" ht="15.75" thickBot="1" x14ac:dyDescent="0.3">
      <c r="A68" s="5" t="s">
        <v>178</v>
      </c>
      <c r="B68" s="6">
        <v>45828</v>
      </c>
      <c r="C68" s="5" t="s">
        <v>179</v>
      </c>
      <c r="D68" s="7" t="s">
        <v>25</v>
      </c>
      <c r="E68" s="5" t="s">
        <v>26</v>
      </c>
      <c r="F68" s="7" t="s">
        <v>27</v>
      </c>
      <c r="G68" s="5" t="s">
        <v>46</v>
      </c>
      <c r="H68" s="7">
        <v>3</v>
      </c>
      <c r="I68" s="8">
        <v>171.6</v>
      </c>
      <c r="J68" s="8">
        <v>15</v>
      </c>
      <c r="K68" s="8">
        <v>437.58</v>
      </c>
      <c r="L68" s="5" t="s">
        <v>65</v>
      </c>
      <c r="M68" s="5" t="s">
        <v>61</v>
      </c>
      <c r="N68" s="6">
        <v>45834</v>
      </c>
      <c r="O68" s="8">
        <v>3</v>
      </c>
    </row>
    <row r="69" spans="1:15" ht="15.75" thickBot="1" x14ac:dyDescent="0.3">
      <c r="A69" s="5" t="s">
        <v>180</v>
      </c>
      <c r="B69" s="6">
        <v>45823</v>
      </c>
      <c r="C69" s="5" t="s">
        <v>181</v>
      </c>
      <c r="D69" s="7" t="s">
        <v>96</v>
      </c>
      <c r="E69" s="7" t="s">
        <v>52</v>
      </c>
      <c r="F69" s="5" t="s">
        <v>19</v>
      </c>
      <c r="G69" s="5" t="s">
        <v>64</v>
      </c>
      <c r="H69" s="8">
        <v>9</v>
      </c>
      <c r="I69" s="8">
        <v>414.21</v>
      </c>
      <c r="J69" s="8">
        <v>0</v>
      </c>
      <c r="K69" s="8">
        <v>3727.89</v>
      </c>
      <c r="L69" s="5" t="s">
        <v>29</v>
      </c>
      <c r="M69" s="5" t="s">
        <v>69</v>
      </c>
      <c r="N69" s="6">
        <v>45825</v>
      </c>
      <c r="O69" s="8">
        <v>5</v>
      </c>
    </row>
    <row r="70" spans="1:15" ht="15.75" thickBot="1" x14ac:dyDescent="0.3">
      <c r="A70" s="5" t="s">
        <v>182</v>
      </c>
      <c r="B70" s="12">
        <v>45658</v>
      </c>
      <c r="C70" s="5" t="s">
        <v>183</v>
      </c>
      <c r="D70" s="7" t="s">
        <v>33</v>
      </c>
      <c r="E70" s="7" t="s">
        <v>34</v>
      </c>
      <c r="F70" s="5" t="s">
        <v>86</v>
      </c>
      <c r="G70" s="5" t="s">
        <v>46</v>
      </c>
      <c r="H70" s="8">
        <v>4</v>
      </c>
      <c r="I70" s="8">
        <v>140.86000000000001</v>
      </c>
      <c r="J70" s="8">
        <v>150</v>
      </c>
      <c r="K70" s="8">
        <v>-281.72000000000003</v>
      </c>
      <c r="L70" s="5" t="s">
        <v>21</v>
      </c>
      <c r="M70" s="5" t="s">
        <v>61</v>
      </c>
      <c r="N70" s="6">
        <v>45897</v>
      </c>
      <c r="O70" s="8">
        <v>3</v>
      </c>
    </row>
    <row r="71" spans="1:15" ht="15.75" thickBot="1" x14ac:dyDescent="0.3">
      <c r="A71" s="5" t="s">
        <v>184</v>
      </c>
      <c r="B71" s="6">
        <v>45817</v>
      </c>
      <c r="C71" s="5" t="s">
        <v>157</v>
      </c>
      <c r="D71" s="7" t="s">
        <v>17</v>
      </c>
      <c r="E71" s="7" t="s">
        <v>18</v>
      </c>
      <c r="F71" s="7" t="s">
        <v>56</v>
      </c>
      <c r="G71" s="5" t="s">
        <v>46</v>
      </c>
      <c r="H71" s="8">
        <v>9</v>
      </c>
      <c r="I71" s="8">
        <v>209.92</v>
      </c>
      <c r="J71" s="8">
        <v>5</v>
      </c>
      <c r="K71" s="8">
        <v>1794.82</v>
      </c>
      <c r="L71" s="5" t="s">
        <v>29</v>
      </c>
      <c r="M71" s="7" t="s">
        <v>81</v>
      </c>
      <c r="N71" s="6">
        <v>45826</v>
      </c>
      <c r="O71" s="8">
        <v>1</v>
      </c>
    </row>
    <row r="72" spans="1:15" ht="15.75" thickBot="1" x14ac:dyDescent="0.3">
      <c r="A72" s="5" t="s">
        <v>185</v>
      </c>
      <c r="B72" s="6">
        <v>45870</v>
      </c>
      <c r="C72" s="5" t="s">
        <v>139</v>
      </c>
      <c r="D72" s="7" t="s">
        <v>100</v>
      </c>
      <c r="E72" s="7" t="s">
        <v>91</v>
      </c>
      <c r="F72" s="7" t="s">
        <v>60</v>
      </c>
      <c r="G72" s="5" t="s">
        <v>64</v>
      </c>
      <c r="H72" s="8">
        <v>8</v>
      </c>
      <c r="I72" s="8">
        <v>129.43</v>
      </c>
      <c r="J72" s="8">
        <v>20</v>
      </c>
      <c r="K72" s="8">
        <v>828.35</v>
      </c>
      <c r="L72" s="5" t="s">
        <v>65</v>
      </c>
      <c r="M72" s="7" t="s">
        <v>30</v>
      </c>
      <c r="N72" s="6">
        <v>45884</v>
      </c>
      <c r="O72" s="8">
        <v>2</v>
      </c>
    </row>
    <row r="73" spans="1:15" ht="15.75" thickBot="1" x14ac:dyDescent="0.3">
      <c r="A73" s="5" t="s">
        <v>186</v>
      </c>
      <c r="B73" s="6">
        <v>45870</v>
      </c>
      <c r="C73" s="5" t="s">
        <v>187</v>
      </c>
      <c r="D73" s="5" t="s">
        <v>55</v>
      </c>
      <c r="E73" s="5" t="s">
        <v>26</v>
      </c>
      <c r="F73" s="5" t="s">
        <v>45</v>
      </c>
      <c r="G73" s="5" t="s">
        <v>28</v>
      </c>
      <c r="H73" s="8">
        <v>5</v>
      </c>
      <c r="I73" s="8">
        <v>412.07</v>
      </c>
      <c r="J73" s="8">
        <v>10</v>
      </c>
      <c r="K73" s="8">
        <v>1854.32</v>
      </c>
      <c r="L73" s="7" t="s">
        <v>57</v>
      </c>
      <c r="M73" s="5" t="s">
        <v>69</v>
      </c>
      <c r="N73" s="6">
        <v>45876</v>
      </c>
      <c r="O73" s="8">
        <v>3</v>
      </c>
    </row>
    <row r="74" spans="1:15" ht="15.75" thickBot="1" x14ac:dyDescent="0.3">
      <c r="A74" s="5" t="s">
        <v>188</v>
      </c>
      <c r="B74" s="6">
        <v>45818</v>
      </c>
      <c r="C74" s="5" t="s">
        <v>189</v>
      </c>
      <c r="D74" s="7" t="s">
        <v>25</v>
      </c>
      <c r="E74" s="5" t="s">
        <v>26</v>
      </c>
      <c r="F74" s="7" t="s">
        <v>27</v>
      </c>
      <c r="G74" s="5" t="s">
        <v>64</v>
      </c>
      <c r="H74" s="8">
        <v>6</v>
      </c>
      <c r="I74" s="9">
        <v>436.1</v>
      </c>
      <c r="J74" s="8">
        <v>5</v>
      </c>
      <c r="K74" s="8">
        <v>2485.77</v>
      </c>
      <c r="L74" s="7" t="s">
        <v>57</v>
      </c>
      <c r="M74" s="5" t="s">
        <v>61</v>
      </c>
      <c r="N74" s="6">
        <v>45943</v>
      </c>
      <c r="O74" s="8">
        <v>5</v>
      </c>
    </row>
    <row r="75" spans="1:15" ht="15.75" thickBot="1" x14ac:dyDescent="0.3">
      <c r="A75" s="5" t="s">
        <v>190</v>
      </c>
      <c r="B75" s="6">
        <v>45855</v>
      </c>
      <c r="C75" s="5" t="s">
        <v>191</v>
      </c>
      <c r="D75" s="5" t="s">
        <v>39</v>
      </c>
      <c r="E75" s="5" t="s">
        <v>40</v>
      </c>
      <c r="F75" s="5" t="s">
        <v>19</v>
      </c>
      <c r="G75" s="5" t="s">
        <v>20</v>
      </c>
      <c r="H75" s="8">
        <v>8</v>
      </c>
      <c r="I75" s="8">
        <v>482.76</v>
      </c>
      <c r="J75" s="8">
        <v>5</v>
      </c>
      <c r="K75" s="8">
        <v>3668.98</v>
      </c>
      <c r="L75" s="7" t="s">
        <v>57</v>
      </c>
      <c r="M75" s="5" t="s">
        <v>61</v>
      </c>
      <c r="N75" s="6">
        <v>45866</v>
      </c>
      <c r="O75" s="8">
        <v>5</v>
      </c>
    </row>
    <row r="76" spans="1:15" ht="15.75" thickBot="1" x14ac:dyDescent="0.3">
      <c r="A76" s="5" t="s">
        <v>192</v>
      </c>
      <c r="B76" s="6">
        <v>45731</v>
      </c>
      <c r="C76" s="5" t="s">
        <v>193</v>
      </c>
      <c r="D76" s="7" t="s">
        <v>25</v>
      </c>
      <c r="E76" s="5" t="s">
        <v>26</v>
      </c>
      <c r="F76" s="5" t="s">
        <v>19</v>
      </c>
      <c r="G76" s="5" t="s">
        <v>20</v>
      </c>
      <c r="H76" s="8">
        <v>-2</v>
      </c>
      <c r="I76" s="8">
        <v>240.05</v>
      </c>
      <c r="J76" s="8">
        <v>10</v>
      </c>
      <c r="K76" s="8">
        <v>-432.09</v>
      </c>
      <c r="L76" s="5" t="s">
        <v>110</v>
      </c>
      <c r="M76" s="7" t="s">
        <v>30</v>
      </c>
      <c r="N76" s="6">
        <v>45738</v>
      </c>
      <c r="O76" s="8">
        <v>8</v>
      </c>
    </row>
    <row r="77" spans="1:15" ht="15.75" thickBot="1" x14ac:dyDescent="0.3">
      <c r="A77" s="5" t="s">
        <v>194</v>
      </c>
      <c r="B77" s="6">
        <v>45907</v>
      </c>
      <c r="C77" s="5" t="s">
        <v>195</v>
      </c>
      <c r="D77" s="7" t="s">
        <v>51</v>
      </c>
      <c r="E77" s="7" t="s">
        <v>52</v>
      </c>
      <c r="F77" s="5" t="s">
        <v>19</v>
      </c>
      <c r="G77" s="5" t="s">
        <v>28</v>
      </c>
      <c r="H77" s="8">
        <v>1</v>
      </c>
      <c r="I77" s="8">
        <v>312.56</v>
      </c>
      <c r="J77" s="8">
        <v>5</v>
      </c>
      <c r="K77" s="8">
        <v>296.93</v>
      </c>
      <c r="L77" s="7" t="s">
        <v>57</v>
      </c>
      <c r="M77" s="5" t="s">
        <v>61</v>
      </c>
      <c r="N77" s="6">
        <v>45921</v>
      </c>
      <c r="O77" s="8">
        <v>3</v>
      </c>
    </row>
    <row r="78" spans="1:15" ht="15.75" thickBot="1" x14ac:dyDescent="0.3">
      <c r="A78" s="5" t="s">
        <v>196</v>
      </c>
      <c r="B78" s="6">
        <v>45672</v>
      </c>
      <c r="C78" s="5" t="s">
        <v>197</v>
      </c>
      <c r="D78" s="7" t="s">
        <v>17</v>
      </c>
      <c r="E78" s="7" t="s">
        <v>91</v>
      </c>
      <c r="F78" s="7" t="s">
        <v>60</v>
      </c>
      <c r="G78" s="5" t="s">
        <v>36</v>
      </c>
      <c r="H78" s="8">
        <v>1</v>
      </c>
      <c r="I78" s="8">
        <v>153.75</v>
      </c>
      <c r="J78" s="8">
        <v>10</v>
      </c>
      <c r="K78" s="8">
        <v>138.38</v>
      </c>
      <c r="L78" s="7" t="s">
        <v>57</v>
      </c>
      <c r="M78" s="5" t="s">
        <v>69</v>
      </c>
      <c r="N78" s="6">
        <v>45673</v>
      </c>
      <c r="O78" s="8">
        <v>4</v>
      </c>
    </row>
    <row r="79" spans="1:15" ht="15.75" thickBot="1" x14ac:dyDescent="0.3">
      <c r="A79" s="5" t="s">
        <v>198</v>
      </c>
      <c r="B79" s="6">
        <v>45970</v>
      </c>
      <c r="C79" s="5" t="s">
        <v>199</v>
      </c>
      <c r="D79" s="7" t="s">
        <v>17</v>
      </c>
      <c r="E79" s="7" t="s">
        <v>91</v>
      </c>
      <c r="F79" s="5" t="s">
        <v>86</v>
      </c>
      <c r="G79" s="5" t="s">
        <v>64</v>
      </c>
      <c r="H79" s="8">
        <v>10</v>
      </c>
      <c r="I79" s="8">
        <v>344.74</v>
      </c>
      <c r="J79" s="8">
        <v>15</v>
      </c>
      <c r="K79" s="8">
        <v>2930.29</v>
      </c>
      <c r="L79" s="7" t="s">
        <v>47</v>
      </c>
      <c r="M79" s="5" t="s">
        <v>48</v>
      </c>
      <c r="N79" s="6">
        <v>45967</v>
      </c>
      <c r="O79" s="8">
        <v>5</v>
      </c>
    </row>
    <row r="80" spans="1:15" ht="15.75" thickBot="1" x14ac:dyDescent="0.3">
      <c r="A80" s="5" t="s">
        <v>200</v>
      </c>
      <c r="B80" s="6">
        <v>45896</v>
      </c>
      <c r="C80" s="5" t="s">
        <v>201</v>
      </c>
      <c r="D80" s="7" t="s">
        <v>33</v>
      </c>
      <c r="E80" s="7" t="s">
        <v>34</v>
      </c>
      <c r="F80" s="5" t="s">
        <v>86</v>
      </c>
      <c r="G80" s="5" t="s">
        <v>28</v>
      </c>
      <c r="H80" s="8">
        <v>3</v>
      </c>
      <c r="I80" s="8">
        <v>46.19</v>
      </c>
      <c r="J80" s="8">
        <v>10</v>
      </c>
      <c r="K80" s="8">
        <v>124.71</v>
      </c>
      <c r="L80" s="7" t="s">
        <v>47</v>
      </c>
      <c r="M80" s="5" t="s">
        <v>48</v>
      </c>
      <c r="N80" s="6">
        <v>45901</v>
      </c>
      <c r="O80" s="8">
        <v>5</v>
      </c>
    </row>
    <row r="81" spans="1:15" ht="15.75" thickBot="1" x14ac:dyDescent="0.3">
      <c r="A81" s="5" t="s">
        <v>202</v>
      </c>
      <c r="B81" s="6">
        <v>45854</v>
      </c>
      <c r="C81" s="5" t="s">
        <v>106</v>
      </c>
      <c r="D81" s="7" t="s">
        <v>33</v>
      </c>
      <c r="E81" s="7" t="s">
        <v>34</v>
      </c>
      <c r="F81" s="5" t="s">
        <v>35</v>
      </c>
      <c r="G81" s="5" t="s">
        <v>64</v>
      </c>
      <c r="H81" s="8">
        <v>2</v>
      </c>
      <c r="I81" s="8">
        <v>126.23</v>
      </c>
      <c r="J81" s="8">
        <v>20</v>
      </c>
      <c r="K81" s="8">
        <v>201.97</v>
      </c>
      <c r="L81" s="5" t="s">
        <v>21</v>
      </c>
      <c r="M81" s="7" t="s">
        <v>30</v>
      </c>
      <c r="N81" s="6">
        <v>45868</v>
      </c>
      <c r="O81" s="8">
        <v>3</v>
      </c>
    </row>
    <row r="82" spans="1:15" ht="15.75" thickBot="1" x14ac:dyDescent="0.3">
      <c r="A82" s="5" t="s">
        <v>203</v>
      </c>
      <c r="B82" s="6">
        <v>46009</v>
      </c>
      <c r="C82" s="5" t="s">
        <v>117</v>
      </c>
      <c r="D82" s="5" t="s">
        <v>39</v>
      </c>
      <c r="E82" s="5" t="s">
        <v>40</v>
      </c>
      <c r="F82" s="7" t="s">
        <v>56</v>
      </c>
      <c r="G82" s="5" t="s">
        <v>46</v>
      </c>
      <c r="H82" s="8">
        <v>0</v>
      </c>
      <c r="I82" s="8">
        <v>375.13</v>
      </c>
      <c r="J82" s="8">
        <v>10</v>
      </c>
      <c r="K82" s="8">
        <v>0</v>
      </c>
      <c r="L82" s="5" t="s">
        <v>29</v>
      </c>
      <c r="M82" s="5" t="s">
        <v>69</v>
      </c>
      <c r="N82" s="6">
        <v>46022</v>
      </c>
      <c r="O82" s="8">
        <v>2</v>
      </c>
    </row>
    <row r="83" spans="1:15" ht="15.75" thickBot="1" x14ac:dyDescent="0.3">
      <c r="A83" s="5" t="s">
        <v>204</v>
      </c>
      <c r="B83" s="6">
        <v>46006</v>
      </c>
      <c r="C83" s="5" t="s">
        <v>205</v>
      </c>
      <c r="D83" s="5" t="s">
        <v>55</v>
      </c>
      <c r="E83" s="5" t="s">
        <v>26</v>
      </c>
      <c r="F83" s="7" t="s">
        <v>60</v>
      </c>
      <c r="G83" s="5" t="s">
        <v>20</v>
      </c>
      <c r="H83" s="8">
        <v>2</v>
      </c>
      <c r="I83" s="8">
        <v>452.67</v>
      </c>
      <c r="J83" s="8">
        <v>0</v>
      </c>
      <c r="K83" s="8">
        <v>905.34</v>
      </c>
      <c r="L83" s="5" t="s">
        <v>110</v>
      </c>
      <c r="M83" s="7" t="s">
        <v>30</v>
      </c>
      <c r="N83" s="6">
        <v>46020</v>
      </c>
      <c r="O83" s="8">
        <v>3</v>
      </c>
    </row>
    <row r="84" spans="1:15" ht="15.75" thickBot="1" x14ac:dyDescent="0.3">
      <c r="A84" s="5" t="s">
        <v>206</v>
      </c>
      <c r="B84" s="6">
        <v>45665</v>
      </c>
      <c r="C84" s="5" t="s">
        <v>207</v>
      </c>
      <c r="D84" s="7" t="s">
        <v>43</v>
      </c>
      <c r="E84" s="7" t="s">
        <v>44</v>
      </c>
      <c r="F84" s="5" t="s">
        <v>45</v>
      </c>
      <c r="G84" s="5" t="s">
        <v>20</v>
      </c>
      <c r="H84" s="7">
        <v>3</v>
      </c>
      <c r="I84" s="8">
        <v>395.39</v>
      </c>
      <c r="J84" s="8">
        <v>10</v>
      </c>
      <c r="K84" s="8">
        <v>1067.55</v>
      </c>
      <c r="L84" s="5" t="s">
        <v>110</v>
      </c>
      <c r="M84" s="7" t="s">
        <v>81</v>
      </c>
      <c r="N84" s="10">
        <v>45873</v>
      </c>
      <c r="O84" s="11"/>
    </row>
    <row r="85" spans="1:15" ht="15.75" thickBot="1" x14ac:dyDescent="0.3">
      <c r="A85" s="5" t="s">
        <v>208</v>
      </c>
      <c r="B85" s="6">
        <v>45897</v>
      </c>
      <c r="C85" s="5" t="s">
        <v>209</v>
      </c>
      <c r="D85" s="5" t="s">
        <v>39</v>
      </c>
      <c r="E85" s="5" t="s">
        <v>40</v>
      </c>
      <c r="F85" s="7" t="s">
        <v>27</v>
      </c>
      <c r="G85" s="5" t="s">
        <v>20</v>
      </c>
      <c r="H85" s="8">
        <v>4</v>
      </c>
      <c r="I85" s="8">
        <v>431.47</v>
      </c>
      <c r="J85" s="8">
        <v>15</v>
      </c>
      <c r="K85" s="8">
        <v>1467</v>
      </c>
      <c r="L85" s="7" t="s">
        <v>57</v>
      </c>
      <c r="M85" s="13" t="s">
        <v>61</v>
      </c>
      <c r="N85" s="11"/>
      <c r="O85" s="8">
        <v>5</v>
      </c>
    </row>
    <row r="86" spans="1:15" ht="15.75" thickBot="1" x14ac:dyDescent="0.3">
      <c r="A86" s="5" t="s">
        <v>210</v>
      </c>
      <c r="B86" s="6">
        <v>45846</v>
      </c>
      <c r="C86" s="5" t="s">
        <v>38</v>
      </c>
      <c r="D86" s="7" t="s">
        <v>51</v>
      </c>
      <c r="E86" s="7" t="s">
        <v>52</v>
      </c>
      <c r="F86" s="5" t="s">
        <v>19</v>
      </c>
      <c r="G86" s="5" t="s">
        <v>36</v>
      </c>
      <c r="H86" s="8">
        <v>10</v>
      </c>
      <c r="I86" s="8">
        <v>196.7</v>
      </c>
      <c r="J86" s="8">
        <v>10</v>
      </c>
      <c r="K86" s="8">
        <v>1770.3</v>
      </c>
      <c r="L86" s="5" t="s">
        <v>65</v>
      </c>
      <c r="M86" s="5" t="s">
        <v>69</v>
      </c>
      <c r="N86" s="6">
        <v>45857</v>
      </c>
      <c r="O86" s="8">
        <v>1</v>
      </c>
    </row>
    <row r="87" spans="1:15" ht="15.75" thickBot="1" x14ac:dyDescent="0.3">
      <c r="A87" s="5" t="s">
        <v>211</v>
      </c>
      <c r="B87" s="6">
        <v>45989</v>
      </c>
      <c r="C87" s="5" t="s">
        <v>212</v>
      </c>
      <c r="D87" s="7" t="s">
        <v>72</v>
      </c>
      <c r="E87" s="7" t="s">
        <v>18</v>
      </c>
      <c r="F87" s="5" t="s">
        <v>35</v>
      </c>
      <c r="G87" s="5" t="s">
        <v>64</v>
      </c>
      <c r="H87" s="8">
        <v>5</v>
      </c>
      <c r="I87" s="8">
        <v>328.13</v>
      </c>
      <c r="J87" s="8">
        <v>0</v>
      </c>
      <c r="K87" s="8">
        <v>1640.65</v>
      </c>
      <c r="L87" s="7" t="s">
        <v>57</v>
      </c>
      <c r="M87" s="5" t="s">
        <v>61</v>
      </c>
      <c r="N87" s="6">
        <v>45991</v>
      </c>
      <c r="O87" s="8">
        <v>2</v>
      </c>
    </row>
    <row r="88" spans="1:15" ht="15.75" thickBot="1" x14ac:dyDescent="0.3">
      <c r="A88" s="5" t="s">
        <v>213</v>
      </c>
      <c r="B88" s="10">
        <v>45856</v>
      </c>
      <c r="C88" s="11"/>
      <c r="D88" s="7" t="s">
        <v>43</v>
      </c>
      <c r="E88" s="7" t="s">
        <v>44</v>
      </c>
      <c r="F88" s="5" t="s">
        <v>86</v>
      </c>
      <c r="G88" s="5" t="s">
        <v>36</v>
      </c>
      <c r="H88" s="8">
        <v>9</v>
      </c>
      <c r="I88" s="9">
        <v>215.37</v>
      </c>
      <c r="J88" s="8">
        <v>5</v>
      </c>
      <c r="K88" s="8">
        <v>1841.41</v>
      </c>
      <c r="L88" s="5" t="s">
        <v>65</v>
      </c>
      <c r="M88" s="7" t="s">
        <v>81</v>
      </c>
      <c r="N88" s="6">
        <v>45864</v>
      </c>
      <c r="O88" s="8">
        <v>4</v>
      </c>
    </row>
    <row r="89" spans="1:15" ht="15.75" thickBot="1" x14ac:dyDescent="0.3">
      <c r="A89" s="5" t="s">
        <v>214</v>
      </c>
      <c r="B89" s="6">
        <v>45769</v>
      </c>
      <c r="C89" s="5" t="s">
        <v>215</v>
      </c>
      <c r="D89" s="5" t="s">
        <v>39</v>
      </c>
      <c r="E89" s="5" t="s">
        <v>40</v>
      </c>
      <c r="F89" s="5" t="s">
        <v>86</v>
      </c>
      <c r="G89" s="5" t="s">
        <v>64</v>
      </c>
      <c r="H89" s="8">
        <v>4</v>
      </c>
      <c r="I89" s="8">
        <v>429.17</v>
      </c>
      <c r="J89" s="8">
        <v>0</v>
      </c>
      <c r="K89" s="8">
        <v>1716.68</v>
      </c>
      <c r="L89" s="5" t="s">
        <v>110</v>
      </c>
      <c r="M89" s="7" t="s">
        <v>22</v>
      </c>
      <c r="N89" s="6">
        <v>45777</v>
      </c>
      <c r="O89" s="8">
        <v>3</v>
      </c>
    </row>
    <row r="90" spans="1:15" ht="15.75" thickBot="1" x14ac:dyDescent="0.3">
      <c r="A90" s="5" t="s">
        <v>216</v>
      </c>
      <c r="B90" s="6">
        <v>45997</v>
      </c>
      <c r="C90" s="5" t="s">
        <v>141</v>
      </c>
      <c r="D90" s="7" t="s">
        <v>17</v>
      </c>
      <c r="E90" s="7" t="s">
        <v>91</v>
      </c>
      <c r="F90" s="7" t="s">
        <v>60</v>
      </c>
      <c r="G90" s="5" t="s">
        <v>28</v>
      </c>
      <c r="H90" s="8">
        <v>1</v>
      </c>
      <c r="I90" s="8">
        <v>34.78</v>
      </c>
      <c r="J90" s="8">
        <v>10</v>
      </c>
      <c r="K90" s="8">
        <v>31.3</v>
      </c>
      <c r="L90" s="5" t="s">
        <v>29</v>
      </c>
      <c r="M90" s="5" t="s">
        <v>61</v>
      </c>
      <c r="N90" s="6">
        <v>46001</v>
      </c>
      <c r="O90" s="8">
        <v>2</v>
      </c>
    </row>
    <row r="91" spans="1:15" ht="15.75" thickBot="1" x14ac:dyDescent="0.3">
      <c r="A91" s="5" t="s">
        <v>217</v>
      </c>
      <c r="B91" s="6">
        <v>45777</v>
      </c>
      <c r="C91" s="5" t="s">
        <v>218</v>
      </c>
      <c r="D91" s="7" t="s">
        <v>33</v>
      </c>
      <c r="E91" s="7" t="s">
        <v>34</v>
      </c>
      <c r="F91" s="5" t="s">
        <v>45</v>
      </c>
      <c r="G91" s="5" t="s">
        <v>20</v>
      </c>
      <c r="H91" s="8">
        <v>10</v>
      </c>
      <c r="I91" s="8">
        <v>11.39</v>
      </c>
      <c r="J91" s="8">
        <v>5</v>
      </c>
      <c r="K91" s="8">
        <v>108.2</v>
      </c>
      <c r="L91" s="5" t="s">
        <v>21</v>
      </c>
      <c r="M91" s="7" t="s">
        <v>30</v>
      </c>
      <c r="N91" s="6">
        <v>45783</v>
      </c>
      <c r="O91" s="8">
        <v>2</v>
      </c>
    </row>
    <row r="92" spans="1:15" ht="15.75" thickBot="1" x14ac:dyDescent="0.3">
      <c r="A92" s="5" t="s">
        <v>219</v>
      </c>
      <c r="B92" s="6">
        <v>45779</v>
      </c>
      <c r="C92" s="5" t="s">
        <v>220</v>
      </c>
      <c r="D92" s="7" t="s">
        <v>25</v>
      </c>
      <c r="E92" s="5" t="s">
        <v>26</v>
      </c>
      <c r="F92" s="5" t="s">
        <v>19</v>
      </c>
      <c r="G92" s="5" t="s">
        <v>36</v>
      </c>
      <c r="H92" s="8">
        <v>1</v>
      </c>
      <c r="I92" s="8">
        <v>95.38</v>
      </c>
      <c r="J92" s="8">
        <v>150</v>
      </c>
      <c r="K92" s="8">
        <v>-47.69</v>
      </c>
      <c r="L92" s="7" t="s">
        <v>47</v>
      </c>
      <c r="M92" s="5" t="s">
        <v>61</v>
      </c>
      <c r="N92" s="6">
        <v>45789</v>
      </c>
      <c r="O92" s="8">
        <v>2</v>
      </c>
    </row>
    <row r="93" spans="1:15" ht="15.75" thickBot="1" x14ac:dyDescent="0.3">
      <c r="A93" s="5" t="s">
        <v>221</v>
      </c>
      <c r="B93" s="6">
        <v>45961</v>
      </c>
      <c r="C93" s="5" t="s">
        <v>179</v>
      </c>
      <c r="D93" s="7" t="s">
        <v>33</v>
      </c>
      <c r="E93" s="7" t="s">
        <v>34</v>
      </c>
      <c r="F93" s="7" t="s">
        <v>56</v>
      </c>
      <c r="G93" s="5" t="s">
        <v>64</v>
      </c>
      <c r="H93" s="8">
        <v>9</v>
      </c>
      <c r="I93" s="8">
        <v>118.56</v>
      </c>
      <c r="J93" s="8">
        <v>20</v>
      </c>
      <c r="K93" s="8">
        <v>853.63</v>
      </c>
      <c r="L93" s="5" t="s">
        <v>21</v>
      </c>
      <c r="M93" s="5" t="s">
        <v>61</v>
      </c>
      <c r="N93" s="6">
        <v>45963</v>
      </c>
      <c r="O93" s="8">
        <v>1</v>
      </c>
    </row>
    <row r="94" spans="1:15" ht="15.75" thickBot="1" x14ac:dyDescent="0.3">
      <c r="A94" s="5" t="s">
        <v>222</v>
      </c>
      <c r="B94" s="5" t="s">
        <v>223</v>
      </c>
      <c r="C94" s="5" t="s">
        <v>224</v>
      </c>
      <c r="D94" s="7" t="s">
        <v>17</v>
      </c>
      <c r="E94" s="7" t="s">
        <v>18</v>
      </c>
      <c r="F94" s="5" t="s">
        <v>45</v>
      </c>
      <c r="G94" s="5" t="s">
        <v>64</v>
      </c>
      <c r="H94" s="8">
        <v>-2</v>
      </c>
      <c r="I94" s="8">
        <v>46.01</v>
      </c>
      <c r="J94" s="8">
        <v>0</v>
      </c>
      <c r="K94" s="8">
        <v>-92.02</v>
      </c>
      <c r="L94" s="5" t="s">
        <v>110</v>
      </c>
      <c r="M94" s="5" t="s">
        <v>69</v>
      </c>
      <c r="N94" s="6">
        <v>46011</v>
      </c>
      <c r="O94" s="8">
        <v>3</v>
      </c>
    </row>
    <row r="95" spans="1:15" ht="15.75" thickBot="1" x14ac:dyDescent="0.3">
      <c r="A95" s="5" t="s">
        <v>225</v>
      </c>
      <c r="B95" s="6">
        <v>45853</v>
      </c>
      <c r="C95" s="5" t="s">
        <v>139</v>
      </c>
      <c r="D95" s="7" t="s">
        <v>25</v>
      </c>
      <c r="E95" s="5" t="s">
        <v>26</v>
      </c>
      <c r="F95" s="7" t="s">
        <v>56</v>
      </c>
      <c r="G95" s="5" t="s">
        <v>28</v>
      </c>
      <c r="H95" s="8">
        <v>5</v>
      </c>
      <c r="I95" s="8">
        <v>232.32</v>
      </c>
      <c r="J95" s="8">
        <v>20</v>
      </c>
      <c r="K95" s="8">
        <v>929.28</v>
      </c>
      <c r="L95" s="5" t="s">
        <v>21</v>
      </c>
      <c r="M95" s="7" t="s">
        <v>30</v>
      </c>
      <c r="N95" s="6">
        <v>45863</v>
      </c>
      <c r="O95" s="8">
        <v>4</v>
      </c>
    </row>
    <row r="96" spans="1:15" ht="15.75" thickBot="1" x14ac:dyDescent="0.3">
      <c r="A96" s="5" t="s">
        <v>226</v>
      </c>
      <c r="B96" s="6">
        <v>45889</v>
      </c>
      <c r="C96" s="5" t="s">
        <v>227</v>
      </c>
      <c r="D96" s="7" t="s">
        <v>43</v>
      </c>
      <c r="E96" s="7" t="s">
        <v>44</v>
      </c>
      <c r="F96" s="5" t="s">
        <v>86</v>
      </c>
      <c r="G96" s="5" t="s">
        <v>64</v>
      </c>
      <c r="H96" s="8">
        <v>6</v>
      </c>
      <c r="I96" s="8">
        <v>415.44</v>
      </c>
      <c r="J96" s="8">
        <v>15</v>
      </c>
      <c r="K96" s="8">
        <v>2118.7399999999998</v>
      </c>
      <c r="L96" s="5" t="s">
        <v>110</v>
      </c>
      <c r="M96" s="7" t="s">
        <v>30</v>
      </c>
      <c r="N96" s="6">
        <v>45893</v>
      </c>
      <c r="O96" s="8">
        <v>4</v>
      </c>
    </row>
    <row r="97" spans="1:15" ht="15.75" thickBot="1" x14ac:dyDescent="0.3">
      <c r="A97" s="5" t="s">
        <v>228</v>
      </c>
      <c r="B97" s="6">
        <v>45692</v>
      </c>
      <c r="C97" s="5" t="s">
        <v>163</v>
      </c>
      <c r="D97" s="7" t="s">
        <v>33</v>
      </c>
      <c r="E97" s="7" t="s">
        <v>34</v>
      </c>
      <c r="F97" s="7" t="s">
        <v>60</v>
      </c>
      <c r="G97" s="5" t="s">
        <v>46</v>
      </c>
      <c r="H97" s="8">
        <v>2</v>
      </c>
      <c r="I97" s="8">
        <v>221.62</v>
      </c>
      <c r="J97" s="8">
        <v>10</v>
      </c>
      <c r="K97" s="8">
        <v>398.92</v>
      </c>
      <c r="L97" s="5" t="s">
        <v>65</v>
      </c>
      <c r="M97" s="5" t="s">
        <v>48</v>
      </c>
      <c r="N97" s="6">
        <v>45694</v>
      </c>
      <c r="O97" s="8">
        <v>2</v>
      </c>
    </row>
    <row r="98" spans="1:15" ht="15.75" thickBot="1" x14ac:dyDescent="0.3">
      <c r="A98" s="5" t="s">
        <v>229</v>
      </c>
      <c r="B98" s="6">
        <v>45874</v>
      </c>
      <c r="C98" s="5" t="s">
        <v>195</v>
      </c>
      <c r="D98" s="7" t="s">
        <v>51</v>
      </c>
      <c r="E98" s="7" t="s">
        <v>52</v>
      </c>
      <c r="F98" s="7" t="s">
        <v>56</v>
      </c>
      <c r="G98" s="5" t="s">
        <v>46</v>
      </c>
      <c r="H98" s="8">
        <v>5</v>
      </c>
      <c r="I98" s="8">
        <v>304.2</v>
      </c>
      <c r="J98" s="8">
        <v>10</v>
      </c>
      <c r="K98" s="8">
        <v>1368.9</v>
      </c>
      <c r="L98" s="7" t="s">
        <v>57</v>
      </c>
      <c r="M98" s="7" t="s">
        <v>22</v>
      </c>
      <c r="N98" s="6">
        <v>45888</v>
      </c>
      <c r="O98" s="8">
        <v>1</v>
      </c>
    </row>
    <row r="99" spans="1:15" ht="15.75" thickBot="1" x14ac:dyDescent="0.3">
      <c r="A99" s="5" t="s">
        <v>230</v>
      </c>
      <c r="B99" s="6">
        <v>45716</v>
      </c>
      <c r="C99" s="5" t="s">
        <v>135</v>
      </c>
      <c r="D99" s="7" t="s">
        <v>33</v>
      </c>
      <c r="E99" s="7" t="s">
        <v>34</v>
      </c>
      <c r="F99" s="7" t="s">
        <v>56</v>
      </c>
      <c r="G99" s="5" t="s">
        <v>36</v>
      </c>
      <c r="H99" s="8">
        <v>10</v>
      </c>
      <c r="I99" s="8">
        <v>120.82</v>
      </c>
      <c r="J99" s="8">
        <v>15</v>
      </c>
      <c r="K99" s="8">
        <v>1026.97</v>
      </c>
      <c r="L99" s="7" t="s">
        <v>47</v>
      </c>
      <c r="M99" s="5" t="s">
        <v>48</v>
      </c>
      <c r="N99" s="6">
        <v>45729</v>
      </c>
      <c r="O99" s="8">
        <v>5</v>
      </c>
    </row>
    <row r="100" spans="1:15" ht="15.75" thickBot="1" x14ac:dyDescent="0.3">
      <c r="A100" s="5" t="s">
        <v>231</v>
      </c>
      <c r="B100" s="6">
        <v>45831</v>
      </c>
      <c r="C100" s="5" t="s">
        <v>232</v>
      </c>
      <c r="D100" s="7" t="s">
        <v>43</v>
      </c>
      <c r="E100" s="7" t="s">
        <v>91</v>
      </c>
      <c r="F100" s="7" t="s">
        <v>56</v>
      </c>
      <c r="G100" s="5" t="s">
        <v>46</v>
      </c>
      <c r="H100" s="7">
        <v>3</v>
      </c>
      <c r="I100" s="8">
        <v>436.23</v>
      </c>
      <c r="J100" s="8">
        <v>20</v>
      </c>
      <c r="K100" s="8">
        <v>1046.95</v>
      </c>
      <c r="L100" s="7" t="s">
        <v>47</v>
      </c>
      <c r="M100" s="5" t="s">
        <v>61</v>
      </c>
      <c r="N100" s="6">
        <v>45837</v>
      </c>
      <c r="O100" s="8">
        <v>8</v>
      </c>
    </row>
    <row r="101" spans="1:15" ht="15.75" thickBot="1" x14ac:dyDescent="0.3">
      <c r="A101" s="5" t="s">
        <v>233</v>
      </c>
      <c r="B101" s="6">
        <v>45850</v>
      </c>
      <c r="C101" s="5" t="s">
        <v>93</v>
      </c>
      <c r="D101" s="7" t="s">
        <v>43</v>
      </c>
      <c r="E101" s="7" t="s">
        <v>18</v>
      </c>
      <c r="F101" s="5" t="s">
        <v>45</v>
      </c>
      <c r="G101" s="5" t="s">
        <v>64</v>
      </c>
      <c r="H101" s="8">
        <v>6</v>
      </c>
      <c r="I101" s="8">
        <v>87.13</v>
      </c>
      <c r="J101" s="8">
        <v>10</v>
      </c>
      <c r="K101" s="8">
        <v>470.5</v>
      </c>
      <c r="L101" s="5" t="s">
        <v>29</v>
      </c>
      <c r="M101" s="5" t="s">
        <v>69</v>
      </c>
      <c r="N101" s="6">
        <v>45857</v>
      </c>
      <c r="O101" s="8">
        <v>3</v>
      </c>
    </row>
    <row r="102" spans="1:15" ht="15.75" thickBot="1" x14ac:dyDescent="0.3">
      <c r="A102" s="5" t="s">
        <v>234</v>
      </c>
      <c r="B102" s="6">
        <v>45884</v>
      </c>
      <c r="C102" s="5" t="s">
        <v>16</v>
      </c>
      <c r="D102" s="7" t="s">
        <v>51</v>
      </c>
      <c r="E102" s="7" t="s">
        <v>52</v>
      </c>
      <c r="F102" s="7" t="s">
        <v>60</v>
      </c>
      <c r="G102" s="5" t="s">
        <v>64</v>
      </c>
      <c r="H102" s="8">
        <v>8</v>
      </c>
      <c r="I102" s="9">
        <v>307.47000000000003</v>
      </c>
      <c r="J102" s="8">
        <v>15</v>
      </c>
      <c r="K102" s="8">
        <v>2090.8000000000002</v>
      </c>
      <c r="L102" s="5" t="s">
        <v>21</v>
      </c>
      <c r="M102" s="5" t="s">
        <v>48</v>
      </c>
      <c r="N102" s="6">
        <v>45895</v>
      </c>
      <c r="O102" s="8">
        <v>3</v>
      </c>
    </row>
    <row r="103" spans="1:15" ht="15.75" thickBot="1" x14ac:dyDescent="0.3">
      <c r="A103" s="5" t="s">
        <v>235</v>
      </c>
      <c r="B103" s="12">
        <v>45658</v>
      </c>
      <c r="C103" s="5" t="s">
        <v>207</v>
      </c>
      <c r="D103" s="7" t="s">
        <v>72</v>
      </c>
      <c r="E103" s="7" t="s">
        <v>91</v>
      </c>
      <c r="F103" s="5" t="s">
        <v>35</v>
      </c>
      <c r="G103" s="5" t="s">
        <v>36</v>
      </c>
      <c r="H103" s="8">
        <v>1</v>
      </c>
      <c r="I103" s="8">
        <v>118.05</v>
      </c>
      <c r="J103" s="8">
        <v>20</v>
      </c>
      <c r="K103" s="8">
        <v>94.44</v>
      </c>
      <c r="L103" s="5" t="s">
        <v>29</v>
      </c>
      <c r="M103" s="7" t="s">
        <v>22</v>
      </c>
      <c r="N103" s="6">
        <v>45916</v>
      </c>
      <c r="O103" s="8">
        <v>1</v>
      </c>
    </row>
    <row r="104" spans="1:15" ht="15.75" thickBot="1" x14ac:dyDescent="0.3">
      <c r="A104" s="5" t="s">
        <v>236</v>
      </c>
      <c r="B104" s="6">
        <v>45748</v>
      </c>
      <c r="C104" s="5" t="s">
        <v>237</v>
      </c>
      <c r="D104" s="5" t="s">
        <v>39</v>
      </c>
      <c r="E104" s="5" t="s">
        <v>40</v>
      </c>
      <c r="F104" s="5" t="s">
        <v>86</v>
      </c>
      <c r="G104" s="5" t="s">
        <v>64</v>
      </c>
      <c r="H104" s="8">
        <v>3</v>
      </c>
      <c r="I104" s="8">
        <v>73.3</v>
      </c>
      <c r="J104" s="8">
        <v>20</v>
      </c>
      <c r="K104" s="8">
        <v>175.92</v>
      </c>
      <c r="L104" s="7" t="s">
        <v>47</v>
      </c>
      <c r="M104" s="5" t="s">
        <v>61</v>
      </c>
      <c r="N104" s="10">
        <v>45658</v>
      </c>
      <c r="O104" s="11"/>
    </row>
    <row r="105" spans="1:15" ht="15.75" thickBot="1" x14ac:dyDescent="0.3">
      <c r="A105" s="5" t="s">
        <v>238</v>
      </c>
      <c r="B105" s="6">
        <v>45818</v>
      </c>
      <c r="C105" s="5" t="s">
        <v>239</v>
      </c>
      <c r="D105" s="7" t="s">
        <v>51</v>
      </c>
      <c r="E105" s="7" t="s">
        <v>52</v>
      </c>
      <c r="F105" s="5" t="s">
        <v>19</v>
      </c>
      <c r="G105" s="5" t="s">
        <v>64</v>
      </c>
      <c r="H105" s="8">
        <v>10</v>
      </c>
      <c r="I105" s="8">
        <v>208.17</v>
      </c>
      <c r="J105" s="8">
        <v>15</v>
      </c>
      <c r="K105" s="8">
        <v>1769.44</v>
      </c>
      <c r="L105" s="5" t="s">
        <v>110</v>
      </c>
      <c r="M105" s="7" t="s">
        <v>22</v>
      </c>
      <c r="N105" s="6">
        <v>45828</v>
      </c>
      <c r="O105" s="8">
        <v>3</v>
      </c>
    </row>
    <row r="106" spans="1:15" ht="15.75" thickBot="1" x14ac:dyDescent="0.3">
      <c r="A106" s="5" t="s">
        <v>240</v>
      </c>
      <c r="B106" s="6">
        <v>45703</v>
      </c>
      <c r="C106" s="5" t="s">
        <v>241</v>
      </c>
      <c r="D106" s="7" t="s">
        <v>51</v>
      </c>
      <c r="E106" s="7" t="s">
        <v>52</v>
      </c>
      <c r="F106" s="7" t="s">
        <v>27</v>
      </c>
      <c r="G106" s="5" t="s">
        <v>46</v>
      </c>
      <c r="H106" s="8">
        <v>4</v>
      </c>
      <c r="I106" s="8">
        <v>223.48</v>
      </c>
      <c r="J106" s="8">
        <v>15</v>
      </c>
      <c r="K106" s="8">
        <v>759.83</v>
      </c>
      <c r="L106" s="5" t="s">
        <v>110</v>
      </c>
      <c r="M106" s="7" t="s">
        <v>30</v>
      </c>
      <c r="N106" s="6">
        <v>45710</v>
      </c>
      <c r="O106" s="8">
        <v>5</v>
      </c>
    </row>
    <row r="107" spans="1:15" ht="15.75" thickBot="1" x14ac:dyDescent="0.3">
      <c r="A107" s="5" t="s">
        <v>242</v>
      </c>
      <c r="B107" s="6">
        <v>45697</v>
      </c>
      <c r="C107" s="5" t="s">
        <v>155</v>
      </c>
      <c r="D107" s="7" t="s">
        <v>17</v>
      </c>
      <c r="E107" s="7" t="s">
        <v>91</v>
      </c>
      <c r="F107" s="5" t="s">
        <v>19</v>
      </c>
      <c r="G107" s="5" t="s">
        <v>46</v>
      </c>
      <c r="H107" s="8">
        <v>9</v>
      </c>
      <c r="I107" s="8">
        <v>259.88</v>
      </c>
      <c r="J107" s="8">
        <v>10</v>
      </c>
      <c r="K107" s="8">
        <v>2105.0300000000002</v>
      </c>
      <c r="L107" s="5" t="s">
        <v>29</v>
      </c>
      <c r="M107" s="5" t="s">
        <v>48</v>
      </c>
      <c r="N107" s="6">
        <v>45706</v>
      </c>
      <c r="O107" s="8">
        <v>3</v>
      </c>
    </row>
    <row r="108" spans="1:15" ht="15.75" thickBot="1" x14ac:dyDescent="0.3">
      <c r="A108" s="5" t="s">
        <v>243</v>
      </c>
      <c r="B108" s="12">
        <v>45700</v>
      </c>
      <c r="C108" s="5" t="s">
        <v>244</v>
      </c>
      <c r="D108" s="5" t="s">
        <v>55</v>
      </c>
      <c r="E108" s="5" t="s">
        <v>26</v>
      </c>
      <c r="F108" s="7" t="s">
        <v>60</v>
      </c>
      <c r="G108" s="5" t="s">
        <v>20</v>
      </c>
      <c r="H108" s="8">
        <v>0</v>
      </c>
      <c r="I108" s="8">
        <v>237.34</v>
      </c>
      <c r="J108" s="8">
        <v>20</v>
      </c>
      <c r="K108" s="8">
        <v>0</v>
      </c>
      <c r="L108" s="7" t="s">
        <v>47</v>
      </c>
      <c r="M108" s="7" t="s">
        <v>30</v>
      </c>
      <c r="N108" s="6">
        <v>45995</v>
      </c>
      <c r="O108" s="8">
        <v>5</v>
      </c>
    </row>
    <row r="109" spans="1:15" ht="15.75" thickBot="1" x14ac:dyDescent="0.3">
      <c r="A109" s="5" t="s">
        <v>245</v>
      </c>
      <c r="B109" s="6">
        <v>45735</v>
      </c>
      <c r="C109" s="5" t="s">
        <v>246</v>
      </c>
      <c r="D109" s="7" t="s">
        <v>72</v>
      </c>
      <c r="E109" s="7" t="s">
        <v>44</v>
      </c>
      <c r="F109" s="7" t="s">
        <v>60</v>
      </c>
      <c r="G109" s="5" t="s">
        <v>46</v>
      </c>
      <c r="H109" s="8">
        <v>8</v>
      </c>
      <c r="I109" s="8">
        <v>226.68</v>
      </c>
      <c r="J109" s="8">
        <v>10</v>
      </c>
      <c r="K109" s="8">
        <v>1632.1</v>
      </c>
      <c r="L109" s="5" t="s">
        <v>21</v>
      </c>
      <c r="M109" s="5" t="s">
        <v>48</v>
      </c>
      <c r="N109" s="6">
        <v>45743</v>
      </c>
      <c r="O109" s="8">
        <v>3</v>
      </c>
    </row>
    <row r="110" spans="1:15" ht="15.75" thickBot="1" x14ac:dyDescent="0.3">
      <c r="A110" s="5" t="s">
        <v>247</v>
      </c>
      <c r="B110" s="6">
        <v>45846</v>
      </c>
      <c r="C110" s="5" t="s">
        <v>248</v>
      </c>
      <c r="D110" s="7" t="s">
        <v>25</v>
      </c>
      <c r="E110" s="5" t="s">
        <v>26</v>
      </c>
      <c r="F110" s="7" t="s">
        <v>60</v>
      </c>
      <c r="G110" s="5" t="s">
        <v>36</v>
      </c>
      <c r="H110" s="8">
        <v>2</v>
      </c>
      <c r="I110" s="8">
        <v>325.89</v>
      </c>
      <c r="J110" s="8">
        <v>0</v>
      </c>
      <c r="K110" s="8">
        <v>651.78</v>
      </c>
      <c r="L110" s="5" t="s">
        <v>65</v>
      </c>
      <c r="M110" s="7" t="s">
        <v>30</v>
      </c>
      <c r="N110" s="6">
        <v>45860</v>
      </c>
      <c r="O110" s="8">
        <v>5</v>
      </c>
    </row>
    <row r="111" spans="1:15" ht="15.75" thickBot="1" x14ac:dyDescent="0.3">
      <c r="A111" s="5" t="s">
        <v>249</v>
      </c>
      <c r="B111" s="6">
        <v>45754</v>
      </c>
      <c r="C111" s="5" t="s">
        <v>250</v>
      </c>
      <c r="D111" s="7" t="s">
        <v>43</v>
      </c>
      <c r="E111" s="7" t="s">
        <v>18</v>
      </c>
      <c r="F111" s="7" t="s">
        <v>27</v>
      </c>
      <c r="G111" s="5" t="s">
        <v>28</v>
      </c>
      <c r="H111" s="8">
        <v>8</v>
      </c>
      <c r="I111" s="8">
        <v>255.67</v>
      </c>
      <c r="J111" s="8">
        <v>0</v>
      </c>
      <c r="K111" s="8">
        <v>2045.36</v>
      </c>
      <c r="L111" s="5" t="s">
        <v>110</v>
      </c>
      <c r="M111" s="7" t="s">
        <v>30</v>
      </c>
      <c r="N111" s="6">
        <v>45760</v>
      </c>
      <c r="O111" s="8">
        <v>4</v>
      </c>
    </row>
    <row r="112" spans="1:15" ht="15.75" thickBot="1" x14ac:dyDescent="0.3">
      <c r="A112" s="5" t="s">
        <v>251</v>
      </c>
      <c r="B112" s="6">
        <v>45678</v>
      </c>
      <c r="C112" s="5" t="s">
        <v>252</v>
      </c>
      <c r="D112" s="5" t="s">
        <v>39</v>
      </c>
      <c r="E112" s="5" t="s">
        <v>40</v>
      </c>
      <c r="F112" s="5" t="s">
        <v>35</v>
      </c>
      <c r="G112" s="5" t="s">
        <v>64</v>
      </c>
      <c r="H112" s="8">
        <v>-2</v>
      </c>
      <c r="I112" s="8">
        <v>266.79000000000002</v>
      </c>
      <c r="J112" s="8">
        <v>20</v>
      </c>
      <c r="K112" s="8">
        <v>-426.86</v>
      </c>
      <c r="L112" s="7" t="s">
        <v>57</v>
      </c>
      <c r="M112" s="7" t="s">
        <v>81</v>
      </c>
      <c r="N112" s="11"/>
      <c r="O112" s="8">
        <v>2</v>
      </c>
    </row>
    <row r="113" spans="1:15" ht="15.75" thickBot="1" x14ac:dyDescent="0.3">
      <c r="A113" s="5" t="s">
        <v>253</v>
      </c>
      <c r="B113" s="6">
        <v>45981</v>
      </c>
      <c r="C113" s="5" t="s">
        <v>254</v>
      </c>
      <c r="D113" s="7" t="s">
        <v>33</v>
      </c>
      <c r="E113" s="7" t="s">
        <v>34</v>
      </c>
      <c r="F113" s="7" t="s">
        <v>56</v>
      </c>
      <c r="G113" s="5" t="s">
        <v>36</v>
      </c>
      <c r="H113" s="8">
        <v>2</v>
      </c>
      <c r="I113" s="8">
        <v>171.55</v>
      </c>
      <c r="J113" s="8">
        <v>20</v>
      </c>
      <c r="K113" s="8">
        <v>274.48</v>
      </c>
      <c r="L113" s="7" t="s">
        <v>47</v>
      </c>
      <c r="M113" s="5" t="s">
        <v>69</v>
      </c>
      <c r="N113" s="6">
        <v>45992</v>
      </c>
      <c r="O113" s="8">
        <v>4</v>
      </c>
    </row>
    <row r="114" spans="1:15" ht="15.75" thickBot="1" x14ac:dyDescent="0.3">
      <c r="A114" s="5" t="s">
        <v>255</v>
      </c>
      <c r="B114" s="6">
        <v>45820</v>
      </c>
      <c r="C114" s="5" t="s">
        <v>161</v>
      </c>
      <c r="D114" s="7" t="s">
        <v>43</v>
      </c>
      <c r="E114" s="7" t="s">
        <v>44</v>
      </c>
      <c r="F114" s="7" t="s">
        <v>60</v>
      </c>
      <c r="G114" s="5" t="s">
        <v>36</v>
      </c>
      <c r="H114" s="8">
        <v>5</v>
      </c>
      <c r="I114" s="8">
        <v>484.17</v>
      </c>
      <c r="J114" s="8">
        <v>150</v>
      </c>
      <c r="K114" s="8">
        <v>-1210.42</v>
      </c>
      <c r="L114" s="7" t="s">
        <v>57</v>
      </c>
      <c r="M114" s="7" t="s">
        <v>30</v>
      </c>
      <c r="N114" s="6">
        <v>46000</v>
      </c>
      <c r="O114" s="8">
        <v>2</v>
      </c>
    </row>
    <row r="115" spans="1:15" ht="15.75" thickBot="1" x14ac:dyDescent="0.3">
      <c r="A115" s="5" t="s">
        <v>256</v>
      </c>
      <c r="B115" s="6">
        <v>46017</v>
      </c>
      <c r="C115" s="5" t="s">
        <v>257</v>
      </c>
      <c r="D115" s="5" t="s">
        <v>39</v>
      </c>
      <c r="E115" s="5" t="s">
        <v>40</v>
      </c>
      <c r="F115" s="5" t="s">
        <v>35</v>
      </c>
      <c r="G115" s="5" t="s">
        <v>28</v>
      </c>
      <c r="H115" s="8">
        <v>2</v>
      </c>
      <c r="I115" s="8">
        <v>326.55</v>
      </c>
      <c r="J115" s="8">
        <v>15</v>
      </c>
      <c r="K115" s="8">
        <v>555.13</v>
      </c>
      <c r="L115" s="5" t="s">
        <v>110</v>
      </c>
      <c r="M115" s="7" t="s">
        <v>22</v>
      </c>
      <c r="N115" s="6">
        <v>46031</v>
      </c>
      <c r="O115" s="8">
        <v>5</v>
      </c>
    </row>
    <row r="116" spans="1:15" ht="15.75" thickBot="1" x14ac:dyDescent="0.3">
      <c r="A116" s="5" t="s">
        <v>258</v>
      </c>
      <c r="B116" s="10">
        <v>45773</v>
      </c>
      <c r="C116" s="11"/>
      <c r="D116" s="7" t="s">
        <v>72</v>
      </c>
      <c r="E116" s="7" t="s">
        <v>18</v>
      </c>
      <c r="F116" s="5" t="s">
        <v>35</v>
      </c>
      <c r="G116" s="5" t="s">
        <v>20</v>
      </c>
      <c r="H116" s="7">
        <v>2</v>
      </c>
      <c r="I116" s="9">
        <v>154.94</v>
      </c>
      <c r="J116" s="8">
        <v>0</v>
      </c>
      <c r="K116" s="8">
        <v>309.88</v>
      </c>
      <c r="L116" s="5" t="s">
        <v>65</v>
      </c>
      <c r="M116" s="7" t="s">
        <v>22</v>
      </c>
      <c r="N116" s="6">
        <v>45776</v>
      </c>
      <c r="O116" s="8">
        <v>5</v>
      </c>
    </row>
    <row r="117" spans="1:15" ht="15.75" thickBot="1" x14ac:dyDescent="0.3">
      <c r="A117" s="5" t="s">
        <v>259</v>
      </c>
      <c r="B117" s="6">
        <v>45750</v>
      </c>
      <c r="C117" s="5" t="s">
        <v>260</v>
      </c>
      <c r="D117" s="5" t="s">
        <v>39</v>
      </c>
      <c r="E117" s="5" t="s">
        <v>40</v>
      </c>
      <c r="F117" s="7" t="s">
        <v>56</v>
      </c>
      <c r="G117" s="5" t="s">
        <v>28</v>
      </c>
      <c r="H117" s="8">
        <v>3</v>
      </c>
      <c r="I117" s="8">
        <v>363.38</v>
      </c>
      <c r="J117" s="8">
        <v>0</v>
      </c>
      <c r="K117" s="8">
        <v>1090.1400000000001</v>
      </c>
      <c r="L117" s="5" t="s">
        <v>29</v>
      </c>
      <c r="M117" s="7" t="s">
        <v>81</v>
      </c>
      <c r="N117" s="6">
        <v>45764</v>
      </c>
      <c r="O117" s="8">
        <v>4</v>
      </c>
    </row>
    <row r="118" spans="1:15" ht="15.75" thickBot="1" x14ac:dyDescent="0.3">
      <c r="A118" s="5" t="s">
        <v>261</v>
      </c>
      <c r="B118" s="6">
        <v>45777</v>
      </c>
      <c r="C118" s="5" t="s">
        <v>262</v>
      </c>
      <c r="D118" s="5" t="s">
        <v>39</v>
      </c>
      <c r="E118" s="5" t="s">
        <v>40</v>
      </c>
      <c r="F118" s="7" t="s">
        <v>60</v>
      </c>
      <c r="G118" s="5" t="s">
        <v>20</v>
      </c>
      <c r="H118" s="8">
        <v>5</v>
      </c>
      <c r="I118" s="8">
        <v>483.14</v>
      </c>
      <c r="J118" s="8">
        <v>15</v>
      </c>
      <c r="K118" s="8">
        <v>2053.34</v>
      </c>
      <c r="L118" s="7" t="s">
        <v>57</v>
      </c>
      <c r="M118" s="7" t="s">
        <v>81</v>
      </c>
      <c r="N118" s="6">
        <v>45786</v>
      </c>
      <c r="O118" s="8">
        <v>2</v>
      </c>
    </row>
    <row r="119" spans="1:15" ht="15.75" thickBot="1" x14ac:dyDescent="0.3">
      <c r="A119" s="5" t="s">
        <v>263</v>
      </c>
      <c r="B119" s="6">
        <v>45928</v>
      </c>
      <c r="C119" s="5" t="s">
        <v>264</v>
      </c>
      <c r="D119" s="7" t="s">
        <v>72</v>
      </c>
      <c r="E119" s="7" t="s">
        <v>91</v>
      </c>
      <c r="F119" s="5" t="s">
        <v>86</v>
      </c>
      <c r="G119" s="5" t="s">
        <v>20</v>
      </c>
      <c r="H119" s="8">
        <v>4</v>
      </c>
      <c r="I119" s="8">
        <v>402.62</v>
      </c>
      <c r="J119" s="8">
        <v>5</v>
      </c>
      <c r="K119" s="8">
        <v>1529.96</v>
      </c>
      <c r="L119" s="5" t="s">
        <v>110</v>
      </c>
      <c r="M119" s="5" t="s">
        <v>69</v>
      </c>
      <c r="N119" s="6">
        <v>45935</v>
      </c>
      <c r="O119" s="8">
        <v>3</v>
      </c>
    </row>
    <row r="120" spans="1:15" ht="15.75" thickBot="1" x14ac:dyDescent="0.3">
      <c r="A120" s="5" t="s">
        <v>265</v>
      </c>
      <c r="B120" s="6">
        <v>45803</v>
      </c>
      <c r="C120" s="5" t="s">
        <v>266</v>
      </c>
      <c r="D120" s="7" t="s">
        <v>25</v>
      </c>
      <c r="E120" s="5" t="s">
        <v>26</v>
      </c>
      <c r="F120" s="5" t="s">
        <v>45</v>
      </c>
      <c r="G120" s="5" t="s">
        <v>20</v>
      </c>
      <c r="H120" s="8">
        <v>5</v>
      </c>
      <c r="I120" s="8">
        <v>230.17</v>
      </c>
      <c r="J120" s="8">
        <v>20</v>
      </c>
      <c r="K120" s="8">
        <v>920.68</v>
      </c>
      <c r="L120" s="7" t="s">
        <v>57</v>
      </c>
      <c r="M120" s="5" t="s">
        <v>48</v>
      </c>
      <c r="N120" s="6">
        <v>45805</v>
      </c>
      <c r="O120" s="8">
        <v>2</v>
      </c>
    </row>
    <row r="121" spans="1:15" ht="15.75" thickBot="1" x14ac:dyDescent="0.3">
      <c r="A121" s="5" t="s">
        <v>267</v>
      </c>
      <c r="B121" s="6">
        <v>45915</v>
      </c>
      <c r="C121" s="5" t="s">
        <v>268</v>
      </c>
      <c r="D121" s="7" t="s">
        <v>72</v>
      </c>
      <c r="E121" s="7" t="s">
        <v>44</v>
      </c>
      <c r="F121" s="5" t="s">
        <v>19</v>
      </c>
      <c r="G121" s="5" t="s">
        <v>20</v>
      </c>
      <c r="H121" s="8">
        <v>7</v>
      </c>
      <c r="I121" s="8">
        <v>497.32</v>
      </c>
      <c r="J121" s="8">
        <v>10</v>
      </c>
      <c r="K121" s="8">
        <v>3133.12</v>
      </c>
      <c r="L121" s="7" t="s">
        <v>47</v>
      </c>
      <c r="M121" s="7" t="s">
        <v>30</v>
      </c>
      <c r="N121" s="6">
        <v>45921</v>
      </c>
      <c r="O121" s="8">
        <v>2</v>
      </c>
    </row>
    <row r="122" spans="1:15" ht="15.75" thickBot="1" x14ac:dyDescent="0.3">
      <c r="A122" s="5" t="s">
        <v>269</v>
      </c>
      <c r="B122" s="6">
        <v>45677</v>
      </c>
      <c r="C122" s="5" t="s">
        <v>270</v>
      </c>
      <c r="D122" s="7" t="s">
        <v>72</v>
      </c>
      <c r="E122" s="7" t="s">
        <v>18</v>
      </c>
      <c r="F122" s="5" t="s">
        <v>19</v>
      </c>
      <c r="G122" s="5" t="s">
        <v>64</v>
      </c>
      <c r="H122" s="8">
        <v>3</v>
      </c>
      <c r="I122" s="8">
        <v>381.83</v>
      </c>
      <c r="J122" s="8">
        <v>15</v>
      </c>
      <c r="K122" s="8">
        <v>973.67</v>
      </c>
      <c r="L122" s="5" t="s">
        <v>110</v>
      </c>
      <c r="M122" s="7" t="s">
        <v>22</v>
      </c>
      <c r="N122" s="6">
        <v>45682</v>
      </c>
      <c r="O122" s="8">
        <v>4</v>
      </c>
    </row>
    <row r="123" spans="1:15" ht="15.75" thickBot="1" x14ac:dyDescent="0.3">
      <c r="A123" s="5" t="s">
        <v>271</v>
      </c>
      <c r="B123" s="6">
        <v>45928</v>
      </c>
      <c r="C123" s="5" t="s">
        <v>139</v>
      </c>
      <c r="D123" s="7" t="s">
        <v>51</v>
      </c>
      <c r="E123" s="7" t="s">
        <v>52</v>
      </c>
      <c r="F123" s="7" t="s">
        <v>56</v>
      </c>
      <c r="G123" s="5" t="s">
        <v>46</v>
      </c>
      <c r="H123" s="8">
        <v>5</v>
      </c>
      <c r="I123" s="8">
        <v>126.44</v>
      </c>
      <c r="J123" s="8">
        <v>0</v>
      </c>
      <c r="K123" s="8">
        <v>632.20000000000005</v>
      </c>
      <c r="L123" s="5" t="s">
        <v>65</v>
      </c>
      <c r="M123" s="7" t="s">
        <v>81</v>
      </c>
      <c r="N123" s="6">
        <v>45935</v>
      </c>
      <c r="O123" s="8">
        <v>1</v>
      </c>
    </row>
    <row r="124" spans="1:15" ht="15.75" thickBot="1" x14ac:dyDescent="0.3">
      <c r="A124" s="5" t="s">
        <v>272</v>
      </c>
      <c r="B124" s="6">
        <v>45698</v>
      </c>
      <c r="C124" s="5" t="s">
        <v>273</v>
      </c>
      <c r="D124" s="7" t="s">
        <v>25</v>
      </c>
      <c r="E124" s="5" t="s">
        <v>26</v>
      </c>
      <c r="F124" s="7" t="s">
        <v>60</v>
      </c>
      <c r="G124" s="5" t="s">
        <v>28</v>
      </c>
      <c r="H124" s="8">
        <v>10</v>
      </c>
      <c r="I124" s="8">
        <v>128.55000000000001</v>
      </c>
      <c r="J124" s="8">
        <v>5</v>
      </c>
      <c r="K124" s="8">
        <v>1221.22</v>
      </c>
      <c r="L124" s="5" t="s">
        <v>110</v>
      </c>
      <c r="M124" s="7" t="s">
        <v>22</v>
      </c>
      <c r="N124" s="10">
        <v>45933</v>
      </c>
      <c r="O124" s="11"/>
    </row>
    <row r="125" spans="1:15" ht="15.75" thickBot="1" x14ac:dyDescent="0.3">
      <c r="A125" s="5" t="s">
        <v>274</v>
      </c>
      <c r="B125" s="6">
        <v>46000</v>
      </c>
      <c r="C125" s="5" t="s">
        <v>260</v>
      </c>
      <c r="D125" s="7" t="s">
        <v>51</v>
      </c>
      <c r="E125" s="7" t="s">
        <v>52</v>
      </c>
      <c r="F125" s="7" t="s">
        <v>27</v>
      </c>
      <c r="G125" s="5" t="s">
        <v>28</v>
      </c>
      <c r="H125" s="8">
        <v>6</v>
      </c>
      <c r="I125" s="8">
        <v>43.16</v>
      </c>
      <c r="J125" s="8">
        <v>20</v>
      </c>
      <c r="K125" s="8">
        <v>207.17</v>
      </c>
      <c r="L125" s="7" t="s">
        <v>57</v>
      </c>
      <c r="M125" s="5" t="s">
        <v>61</v>
      </c>
      <c r="N125" s="6">
        <v>46002</v>
      </c>
      <c r="O125" s="8">
        <v>5</v>
      </c>
    </row>
    <row r="126" spans="1:15" ht="15.75" thickBot="1" x14ac:dyDescent="0.3">
      <c r="A126" s="5" t="s">
        <v>275</v>
      </c>
      <c r="B126" s="6">
        <v>45840</v>
      </c>
      <c r="C126" s="5" t="s">
        <v>32</v>
      </c>
      <c r="D126" s="5" t="s">
        <v>39</v>
      </c>
      <c r="E126" s="5" t="s">
        <v>40</v>
      </c>
      <c r="F126" s="5" t="s">
        <v>19</v>
      </c>
      <c r="G126" s="5" t="s">
        <v>46</v>
      </c>
      <c r="H126" s="8">
        <v>6</v>
      </c>
      <c r="I126" s="8">
        <v>128.15</v>
      </c>
      <c r="J126" s="8">
        <v>0</v>
      </c>
      <c r="K126" s="8">
        <v>768.9</v>
      </c>
      <c r="L126" s="5" t="s">
        <v>110</v>
      </c>
      <c r="M126" s="5" t="s">
        <v>69</v>
      </c>
      <c r="N126" s="6">
        <v>45853</v>
      </c>
      <c r="O126" s="8">
        <v>5</v>
      </c>
    </row>
    <row r="127" spans="1:15" ht="15.75" thickBot="1" x14ac:dyDescent="0.3">
      <c r="A127" s="5" t="s">
        <v>276</v>
      </c>
      <c r="B127" s="6">
        <v>46008</v>
      </c>
      <c r="C127" s="5" t="s">
        <v>71</v>
      </c>
      <c r="D127" s="7" t="s">
        <v>72</v>
      </c>
      <c r="E127" s="7" t="s">
        <v>44</v>
      </c>
      <c r="F127" s="5" t="s">
        <v>45</v>
      </c>
      <c r="G127" s="5" t="s">
        <v>64</v>
      </c>
      <c r="H127" s="8">
        <v>3</v>
      </c>
      <c r="I127" s="8">
        <v>407.63</v>
      </c>
      <c r="J127" s="8">
        <v>0</v>
      </c>
      <c r="K127" s="8">
        <v>1222.8900000000001</v>
      </c>
      <c r="L127" s="5" t="s">
        <v>21</v>
      </c>
      <c r="M127" s="7" t="s">
        <v>22</v>
      </c>
      <c r="N127" s="6">
        <v>46016</v>
      </c>
      <c r="O127" s="8">
        <v>4</v>
      </c>
    </row>
    <row r="128" spans="1:15" ht="15.75" thickBot="1" x14ac:dyDescent="0.3">
      <c r="A128" s="5" t="s">
        <v>277</v>
      </c>
      <c r="B128" s="6">
        <v>45861</v>
      </c>
      <c r="C128" s="5" t="s">
        <v>32</v>
      </c>
      <c r="D128" s="5" t="s">
        <v>39</v>
      </c>
      <c r="E128" s="5" t="s">
        <v>40</v>
      </c>
      <c r="F128" s="7" t="s">
        <v>27</v>
      </c>
      <c r="G128" s="5" t="s">
        <v>28</v>
      </c>
      <c r="H128" s="8">
        <v>8</v>
      </c>
      <c r="I128" s="8">
        <v>134.12</v>
      </c>
      <c r="J128" s="8">
        <v>5</v>
      </c>
      <c r="K128" s="8">
        <v>1019.31</v>
      </c>
      <c r="L128" s="5" t="s">
        <v>21</v>
      </c>
      <c r="M128" s="7" t="s">
        <v>30</v>
      </c>
      <c r="N128" s="6">
        <v>45875</v>
      </c>
      <c r="O128" s="8">
        <v>3</v>
      </c>
    </row>
    <row r="129" spans="1:15" ht="15.75" thickBot="1" x14ac:dyDescent="0.3">
      <c r="A129" s="5" t="s">
        <v>278</v>
      </c>
      <c r="B129" s="6">
        <v>45881</v>
      </c>
      <c r="C129" s="5" t="s">
        <v>279</v>
      </c>
      <c r="D129" s="5" t="s">
        <v>55</v>
      </c>
      <c r="E129" s="5" t="s">
        <v>26</v>
      </c>
      <c r="F129" s="7" t="s">
        <v>27</v>
      </c>
      <c r="G129" s="5" t="s">
        <v>64</v>
      </c>
      <c r="H129" s="8">
        <v>7</v>
      </c>
      <c r="I129" s="8">
        <v>176.13</v>
      </c>
      <c r="J129" s="8">
        <v>5</v>
      </c>
      <c r="K129" s="8">
        <v>1171.26</v>
      </c>
      <c r="L129" s="5" t="s">
        <v>65</v>
      </c>
      <c r="M129" s="5" t="s">
        <v>48</v>
      </c>
      <c r="N129" s="6">
        <v>45878</v>
      </c>
      <c r="O129" s="8">
        <v>4</v>
      </c>
    </row>
    <row r="130" spans="1:15" ht="15.75" thickBot="1" x14ac:dyDescent="0.3">
      <c r="A130" s="5" t="s">
        <v>280</v>
      </c>
      <c r="B130" s="6">
        <v>45878</v>
      </c>
      <c r="C130" s="5" t="s">
        <v>281</v>
      </c>
      <c r="D130" s="5" t="s">
        <v>39</v>
      </c>
      <c r="E130" s="5" t="s">
        <v>40</v>
      </c>
      <c r="F130" s="5" t="s">
        <v>35</v>
      </c>
      <c r="G130" s="5" t="s">
        <v>20</v>
      </c>
      <c r="H130" s="8">
        <v>-2</v>
      </c>
      <c r="I130" s="9">
        <v>153.94999999999999</v>
      </c>
      <c r="J130" s="8">
        <v>0</v>
      </c>
      <c r="K130" s="8">
        <v>-307.89999999999998</v>
      </c>
      <c r="L130" s="5" t="s">
        <v>110</v>
      </c>
      <c r="M130" s="7" t="s">
        <v>81</v>
      </c>
      <c r="N130" s="6">
        <v>45888</v>
      </c>
      <c r="O130" s="8">
        <v>1</v>
      </c>
    </row>
    <row r="131" spans="1:15" ht="15.75" thickBot="1" x14ac:dyDescent="0.3">
      <c r="A131" s="5" t="s">
        <v>282</v>
      </c>
      <c r="B131" s="6">
        <v>46011</v>
      </c>
      <c r="C131" s="5" t="s">
        <v>281</v>
      </c>
      <c r="D131" s="7" t="s">
        <v>25</v>
      </c>
      <c r="E131" s="5" t="s">
        <v>26</v>
      </c>
      <c r="F131" s="7" t="s">
        <v>56</v>
      </c>
      <c r="G131" s="5" t="s">
        <v>36</v>
      </c>
      <c r="H131" s="8">
        <v>8</v>
      </c>
      <c r="I131" s="8">
        <v>30.75</v>
      </c>
      <c r="J131" s="8">
        <v>10</v>
      </c>
      <c r="K131" s="8">
        <v>221.4</v>
      </c>
      <c r="L131" s="5" t="s">
        <v>21</v>
      </c>
      <c r="M131" s="5" t="s">
        <v>61</v>
      </c>
      <c r="N131" s="6">
        <v>46019</v>
      </c>
      <c r="O131" s="8">
        <v>5</v>
      </c>
    </row>
    <row r="132" spans="1:15" ht="15.75" thickBot="1" x14ac:dyDescent="0.3">
      <c r="A132" s="5" t="s">
        <v>283</v>
      </c>
      <c r="B132" s="6">
        <v>45673</v>
      </c>
      <c r="C132" s="5" t="s">
        <v>135</v>
      </c>
      <c r="D132" s="7" t="s">
        <v>43</v>
      </c>
      <c r="E132" s="7" t="s">
        <v>44</v>
      </c>
      <c r="F132" s="5" t="s">
        <v>86</v>
      </c>
      <c r="G132" s="5" t="s">
        <v>28</v>
      </c>
      <c r="H132" s="7">
        <v>8</v>
      </c>
      <c r="I132" s="8">
        <v>27.05</v>
      </c>
      <c r="J132" s="8">
        <v>0</v>
      </c>
      <c r="K132" s="8">
        <v>216.4</v>
      </c>
      <c r="L132" s="5" t="s">
        <v>65</v>
      </c>
      <c r="M132" s="5" t="s">
        <v>61</v>
      </c>
      <c r="N132" s="6">
        <v>45676</v>
      </c>
      <c r="O132" s="8">
        <v>2</v>
      </c>
    </row>
    <row r="133" spans="1:15" ht="15.75" thickBot="1" x14ac:dyDescent="0.3">
      <c r="A133" s="5" t="s">
        <v>284</v>
      </c>
      <c r="B133" s="6">
        <v>45847</v>
      </c>
      <c r="C133" s="5" t="s">
        <v>285</v>
      </c>
      <c r="D133" s="7" t="s">
        <v>25</v>
      </c>
      <c r="E133" s="5" t="s">
        <v>26</v>
      </c>
      <c r="F133" s="7" t="s">
        <v>56</v>
      </c>
      <c r="G133" s="5" t="s">
        <v>64</v>
      </c>
      <c r="H133" s="8">
        <v>2</v>
      </c>
      <c r="I133" s="8">
        <v>291.22000000000003</v>
      </c>
      <c r="J133" s="8">
        <v>20</v>
      </c>
      <c r="K133" s="8">
        <v>465.95</v>
      </c>
      <c r="L133" s="5" t="s">
        <v>110</v>
      </c>
      <c r="M133" s="7" t="s">
        <v>22</v>
      </c>
      <c r="N133" s="6">
        <v>45853</v>
      </c>
      <c r="O133" s="8">
        <v>3</v>
      </c>
    </row>
    <row r="134" spans="1:15" ht="15.75" thickBot="1" x14ac:dyDescent="0.3">
      <c r="A134" s="5" t="s">
        <v>286</v>
      </c>
      <c r="B134" s="5" t="s">
        <v>287</v>
      </c>
      <c r="C134" s="5" t="s">
        <v>215</v>
      </c>
      <c r="D134" s="7" t="s">
        <v>51</v>
      </c>
      <c r="E134" s="7" t="s">
        <v>52</v>
      </c>
      <c r="F134" s="5" t="s">
        <v>35</v>
      </c>
      <c r="G134" s="5" t="s">
        <v>64</v>
      </c>
      <c r="H134" s="8">
        <v>0</v>
      </c>
      <c r="I134" s="8">
        <v>67.7</v>
      </c>
      <c r="J134" s="8">
        <v>10</v>
      </c>
      <c r="K134" s="8">
        <v>0</v>
      </c>
      <c r="L134" s="7" t="s">
        <v>47</v>
      </c>
      <c r="M134" s="7" t="s">
        <v>81</v>
      </c>
      <c r="N134" s="6">
        <v>45922</v>
      </c>
      <c r="O134" s="8">
        <v>4</v>
      </c>
    </row>
    <row r="135" spans="1:15" ht="15.75" thickBot="1" x14ac:dyDescent="0.3">
      <c r="A135" s="5" t="s">
        <v>288</v>
      </c>
      <c r="B135" s="6">
        <v>45889</v>
      </c>
      <c r="C135" s="5" t="s">
        <v>289</v>
      </c>
      <c r="D135" s="7" t="s">
        <v>43</v>
      </c>
      <c r="E135" s="7" t="s">
        <v>44</v>
      </c>
      <c r="F135" s="7" t="s">
        <v>60</v>
      </c>
      <c r="G135" s="5" t="s">
        <v>64</v>
      </c>
      <c r="H135" s="8">
        <v>2</v>
      </c>
      <c r="I135" s="8">
        <v>407.15</v>
      </c>
      <c r="J135" s="8">
        <v>10</v>
      </c>
      <c r="K135" s="8">
        <v>732.87</v>
      </c>
      <c r="L135" s="5" t="s">
        <v>110</v>
      </c>
      <c r="M135" s="5" t="s">
        <v>48</v>
      </c>
      <c r="N135" s="6">
        <v>45892</v>
      </c>
      <c r="O135" s="8">
        <v>3</v>
      </c>
    </row>
    <row r="136" spans="1:15" ht="15.75" thickBot="1" x14ac:dyDescent="0.3">
      <c r="A136" s="5" t="s">
        <v>290</v>
      </c>
      <c r="B136" s="12">
        <v>45658</v>
      </c>
      <c r="C136" s="5" t="s">
        <v>291</v>
      </c>
      <c r="D136" s="7" t="s">
        <v>51</v>
      </c>
      <c r="E136" s="7" t="s">
        <v>52</v>
      </c>
      <c r="F136" s="5" t="s">
        <v>86</v>
      </c>
      <c r="G136" s="5" t="s">
        <v>36</v>
      </c>
      <c r="H136" s="8">
        <v>9</v>
      </c>
      <c r="I136" s="8">
        <v>119.88</v>
      </c>
      <c r="J136" s="8">
        <v>150</v>
      </c>
      <c r="K136" s="8">
        <v>-539.46</v>
      </c>
      <c r="L136" s="5" t="s">
        <v>21</v>
      </c>
      <c r="M136" s="5" t="s">
        <v>48</v>
      </c>
      <c r="N136" s="6">
        <v>45760</v>
      </c>
      <c r="O136" s="8">
        <v>2</v>
      </c>
    </row>
    <row r="137" spans="1:15" ht="15.75" thickBot="1" x14ac:dyDescent="0.3">
      <c r="A137" s="5" t="s">
        <v>292</v>
      </c>
      <c r="B137" s="6">
        <v>45940</v>
      </c>
      <c r="C137" s="5" t="s">
        <v>293</v>
      </c>
      <c r="D137" s="7" t="s">
        <v>25</v>
      </c>
      <c r="E137" s="5" t="s">
        <v>26</v>
      </c>
      <c r="F137" s="5" t="s">
        <v>86</v>
      </c>
      <c r="G137" s="5" t="s">
        <v>28</v>
      </c>
      <c r="H137" s="8">
        <v>2</v>
      </c>
      <c r="I137" s="8">
        <v>42.22</v>
      </c>
      <c r="J137" s="8">
        <v>15</v>
      </c>
      <c r="K137" s="8">
        <v>71.77</v>
      </c>
      <c r="L137" s="5" t="s">
        <v>65</v>
      </c>
      <c r="M137" s="5" t="s">
        <v>61</v>
      </c>
      <c r="N137" s="6">
        <v>45943</v>
      </c>
      <c r="O137" s="8">
        <v>4</v>
      </c>
    </row>
    <row r="138" spans="1:15" ht="15.75" thickBot="1" x14ac:dyDescent="0.3">
      <c r="A138" s="5" t="s">
        <v>294</v>
      </c>
      <c r="B138" s="6">
        <v>45888</v>
      </c>
      <c r="C138" s="5" t="s">
        <v>246</v>
      </c>
      <c r="D138" s="5" t="s">
        <v>55</v>
      </c>
      <c r="E138" s="5" t="s">
        <v>26</v>
      </c>
      <c r="F138" s="5" t="s">
        <v>45</v>
      </c>
      <c r="G138" s="5" t="s">
        <v>28</v>
      </c>
      <c r="H138" s="8">
        <v>6</v>
      </c>
      <c r="I138" s="8">
        <v>72.88</v>
      </c>
      <c r="J138" s="8">
        <v>20</v>
      </c>
      <c r="K138" s="8">
        <v>349.82</v>
      </c>
      <c r="L138" s="7" t="s">
        <v>57</v>
      </c>
      <c r="M138" s="5" t="s">
        <v>69</v>
      </c>
      <c r="N138" s="6">
        <v>45896</v>
      </c>
      <c r="O138" s="8">
        <v>5</v>
      </c>
    </row>
    <row r="139" spans="1:15" ht="15.75" thickBot="1" x14ac:dyDescent="0.3">
      <c r="A139" s="5" t="s">
        <v>295</v>
      </c>
      <c r="B139" s="6">
        <v>45736</v>
      </c>
      <c r="C139" s="5" t="s">
        <v>63</v>
      </c>
      <c r="D139" s="7" t="s">
        <v>33</v>
      </c>
      <c r="E139" s="7" t="s">
        <v>34</v>
      </c>
      <c r="F139" s="5" t="s">
        <v>19</v>
      </c>
      <c r="G139" s="5" t="s">
        <v>20</v>
      </c>
      <c r="H139" s="8">
        <v>3</v>
      </c>
      <c r="I139" s="8">
        <v>168.1</v>
      </c>
      <c r="J139" s="8">
        <v>5</v>
      </c>
      <c r="K139" s="8">
        <v>479.08</v>
      </c>
      <c r="L139" s="5" t="s">
        <v>110</v>
      </c>
      <c r="M139" s="7" t="s">
        <v>22</v>
      </c>
      <c r="N139" s="11"/>
      <c r="O139" s="8">
        <v>3</v>
      </c>
    </row>
    <row r="140" spans="1:15" ht="15.75" thickBot="1" x14ac:dyDescent="0.3">
      <c r="A140" s="5" t="s">
        <v>296</v>
      </c>
      <c r="B140" s="6">
        <v>45813</v>
      </c>
      <c r="C140" s="5" t="s">
        <v>297</v>
      </c>
      <c r="D140" s="7" t="s">
        <v>17</v>
      </c>
      <c r="E140" s="7" t="s">
        <v>91</v>
      </c>
      <c r="F140" s="7" t="s">
        <v>56</v>
      </c>
      <c r="G140" s="5" t="s">
        <v>28</v>
      </c>
      <c r="H140" s="8">
        <v>2</v>
      </c>
      <c r="I140" s="8">
        <v>256.26</v>
      </c>
      <c r="J140" s="8">
        <v>5</v>
      </c>
      <c r="K140" s="8">
        <v>486.89</v>
      </c>
      <c r="L140" s="5" t="s">
        <v>65</v>
      </c>
      <c r="M140" s="7" t="s">
        <v>30</v>
      </c>
      <c r="N140" s="6">
        <v>45823</v>
      </c>
      <c r="O140" s="8">
        <v>5</v>
      </c>
    </row>
    <row r="141" spans="1:15" ht="15.75" thickBot="1" x14ac:dyDescent="0.3">
      <c r="A141" s="5" t="s">
        <v>298</v>
      </c>
      <c r="B141" s="6">
        <v>45672</v>
      </c>
      <c r="C141" s="5" t="s">
        <v>299</v>
      </c>
      <c r="D141" s="7" t="s">
        <v>33</v>
      </c>
      <c r="E141" s="7" t="s">
        <v>34</v>
      </c>
      <c r="F141" s="7" t="s">
        <v>56</v>
      </c>
      <c r="G141" s="5" t="s">
        <v>46</v>
      </c>
      <c r="H141" s="8">
        <v>10</v>
      </c>
      <c r="I141" s="8">
        <v>139.68</v>
      </c>
      <c r="J141" s="8">
        <v>5</v>
      </c>
      <c r="K141" s="8">
        <v>1326.96</v>
      </c>
      <c r="L141" s="5" t="s">
        <v>21</v>
      </c>
      <c r="M141" s="7" t="s">
        <v>81</v>
      </c>
      <c r="N141" s="6">
        <v>45674</v>
      </c>
      <c r="O141" s="8">
        <v>5</v>
      </c>
    </row>
    <row r="142" spans="1:15" ht="15.75" thickBot="1" x14ac:dyDescent="0.3">
      <c r="A142" s="5" t="s">
        <v>300</v>
      </c>
      <c r="B142" s="6">
        <v>45905</v>
      </c>
      <c r="C142" s="5" t="s">
        <v>301</v>
      </c>
      <c r="D142" s="7" t="s">
        <v>51</v>
      </c>
      <c r="E142" s="7" t="s">
        <v>52</v>
      </c>
      <c r="F142" s="5" t="s">
        <v>86</v>
      </c>
      <c r="G142" s="5" t="s">
        <v>64</v>
      </c>
      <c r="H142" s="8">
        <v>5</v>
      </c>
      <c r="I142" s="8">
        <v>232.24</v>
      </c>
      <c r="J142" s="8">
        <v>0</v>
      </c>
      <c r="K142" s="8">
        <v>1161.2</v>
      </c>
      <c r="L142" s="7" t="s">
        <v>57</v>
      </c>
      <c r="M142" s="7" t="s">
        <v>22</v>
      </c>
      <c r="N142" s="6">
        <v>45909</v>
      </c>
      <c r="O142" s="8">
        <v>2</v>
      </c>
    </row>
    <row r="143" spans="1:15" ht="15.75" thickBot="1" x14ac:dyDescent="0.3">
      <c r="A143" s="5" t="s">
        <v>302</v>
      </c>
      <c r="B143" s="6">
        <v>45821</v>
      </c>
      <c r="C143" s="5" t="s">
        <v>303</v>
      </c>
      <c r="D143" s="7" t="s">
        <v>43</v>
      </c>
      <c r="E143" s="7" t="s">
        <v>44</v>
      </c>
      <c r="F143" s="5" t="s">
        <v>45</v>
      </c>
      <c r="G143" s="5" t="s">
        <v>36</v>
      </c>
      <c r="H143" s="8">
        <v>7</v>
      </c>
      <c r="I143" s="8">
        <v>74.08</v>
      </c>
      <c r="J143" s="8">
        <v>10</v>
      </c>
      <c r="K143" s="8">
        <v>466.7</v>
      </c>
      <c r="L143" s="7" t="s">
        <v>57</v>
      </c>
      <c r="M143" s="5" t="s">
        <v>61</v>
      </c>
      <c r="N143" s="6">
        <v>45833</v>
      </c>
      <c r="O143" s="8">
        <v>5</v>
      </c>
    </row>
    <row r="144" spans="1:15" ht="15.75" thickBot="1" x14ac:dyDescent="0.3">
      <c r="A144" s="5" t="s">
        <v>304</v>
      </c>
      <c r="B144" s="13" t="s">
        <v>305</v>
      </c>
      <c r="C144" s="11"/>
      <c r="D144" s="7" t="s">
        <v>17</v>
      </c>
      <c r="E144" s="7" t="s">
        <v>18</v>
      </c>
      <c r="F144" s="5" t="s">
        <v>35</v>
      </c>
      <c r="G144" s="5" t="s">
        <v>36</v>
      </c>
      <c r="H144" s="8">
        <v>7</v>
      </c>
      <c r="I144" s="9">
        <v>433.44</v>
      </c>
      <c r="J144" s="8">
        <v>15</v>
      </c>
      <c r="K144" s="8">
        <v>2578.9699999999998</v>
      </c>
      <c r="L144" s="5" t="s">
        <v>65</v>
      </c>
      <c r="M144" s="7" t="s">
        <v>30</v>
      </c>
      <c r="N144" s="10">
        <v>45708</v>
      </c>
      <c r="O144" s="11"/>
    </row>
    <row r="145" spans="1:15" ht="15.75" thickBot="1" x14ac:dyDescent="0.3">
      <c r="A145" s="5" t="s">
        <v>306</v>
      </c>
      <c r="B145" s="6">
        <v>45921</v>
      </c>
      <c r="C145" s="5" t="s">
        <v>307</v>
      </c>
      <c r="D145" s="5" t="s">
        <v>55</v>
      </c>
      <c r="E145" s="5" t="s">
        <v>26</v>
      </c>
      <c r="F145" s="5" t="s">
        <v>45</v>
      </c>
      <c r="G145" s="5" t="s">
        <v>64</v>
      </c>
      <c r="H145" s="8">
        <v>5</v>
      </c>
      <c r="I145" s="8">
        <v>253.71</v>
      </c>
      <c r="J145" s="8">
        <v>0</v>
      </c>
      <c r="K145" s="8">
        <v>1268.55</v>
      </c>
      <c r="L145" s="5" t="s">
        <v>65</v>
      </c>
      <c r="M145" s="5" t="s">
        <v>48</v>
      </c>
      <c r="N145" s="6">
        <v>45929</v>
      </c>
      <c r="O145" s="8">
        <v>4</v>
      </c>
    </row>
    <row r="146" spans="1:15" ht="15.75" thickBot="1" x14ac:dyDescent="0.3">
      <c r="A146" s="5" t="s">
        <v>308</v>
      </c>
      <c r="B146" s="6">
        <v>45963</v>
      </c>
      <c r="C146" s="5" t="s">
        <v>309</v>
      </c>
      <c r="D146" s="7" t="s">
        <v>17</v>
      </c>
      <c r="E146" s="7" t="s">
        <v>44</v>
      </c>
      <c r="F146" s="7" t="s">
        <v>56</v>
      </c>
      <c r="G146" s="5" t="s">
        <v>64</v>
      </c>
      <c r="H146" s="8">
        <v>5</v>
      </c>
      <c r="I146" s="8">
        <v>272.98</v>
      </c>
      <c r="J146" s="8">
        <v>0</v>
      </c>
      <c r="K146" s="8">
        <v>1364.9</v>
      </c>
      <c r="L146" s="5" t="s">
        <v>110</v>
      </c>
      <c r="M146" s="7" t="s">
        <v>81</v>
      </c>
      <c r="N146" s="6">
        <v>45977</v>
      </c>
      <c r="O146" s="8">
        <v>4</v>
      </c>
    </row>
    <row r="147" spans="1:15" ht="15.75" thickBot="1" x14ac:dyDescent="0.3">
      <c r="A147" s="5" t="s">
        <v>310</v>
      </c>
      <c r="B147" s="6">
        <v>45949</v>
      </c>
      <c r="C147" s="5" t="s">
        <v>311</v>
      </c>
      <c r="D147" s="5" t="s">
        <v>55</v>
      </c>
      <c r="E147" s="5" t="s">
        <v>26</v>
      </c>
      <c r="F147" s="7" t="s">
        <v>60</v>
      </c>
      <c r="G147" s="5" t="s">
        <v>20</v>
      </c>
      <c r="H147" s="8">
        <v>6</v>
      </c>
      <c r="I147" s="8">
        <v>281.08</v>
      </c>
      <c r="J147" s="8">
        <v>0</v>
      </c>
      <c r="K147" s="8">
        <v>1686.48</v>
      </c>
      <c r="L147" s="5" t="s">
        <v>110</v>
      </c>
      <c r="M147" s="5" t="s">
        <v>69</v>
      </c>
      <c r="N147" s="6">
        <v>45958</v>
      </c>
      <c r="O147" s="8">
        <v>4</v>
      </c>
    </row>
    <row r="148" spans="1:15" ht="15.75" thickBot="1" x14ac:dyDescent="0.3">
      <c r="A148" s="5" t="s">
        <v>312</v>
      </c>
      <c r="B148" s="6">
        <v>45859</v>
      </c>
      <c r="C148" s="5" t="s">
        <v>289</v>
      </c>
      <c r="D148" s="7" t="s">
        <v>25</v>
      </c>
      <c r="E148" s="5" t="s">
        <v>26</v>
      </c>
      <c r="F148" s="5" t="s">
        <v>19</v>
      </c>
      <c r="G148" s="5" t="s">
        <v>36</v>
      </c>
      <c r="H148" s="7">
        <v>-2</v>
      </c>
      <c r="I148" s="8">
        <v>470.08</v>
      </c>
      <c r="J148" s="8">
        <v>5</v>
      </c>
      <c r="K148" s="8">
        <v>-893.15</v>
      </c>
      <c r="L148" s="5" t="s">
        <v>21</v>
      </c>
      <c r="M148" s="5" t="s">
        <v>61</v>
      </c>
      <c r="N148" s="6">
        <v>45865</v>
      </c>
      <c r="O148" s="8">
        <v>8</v>
      </c>
    </row>
    <row r="149" spans="1:15" ht="15.75" thickBot="1" x14ac:dyDescent="0.3">
      <c r="A149" s="5" t="s">
        <v>313</v>
      </c>
      <c r="B149" s="6">
        <v>45923</v>
      </c>
      <c r="C149" s="5" t="s">
        <v>314</v>
      </c>
      <c r="D149" s="5" t="s">
        <v>39</v>
      </c>
      <c r="E149" s="5" t="s">
        <v>40</v>
      </c>
      <c r="F149" s="5" t="s">
        <v>86</v>
      </c>
      <c r="G149" s="5" t="s">
        <v>20</v>
      </c>
      <c r="H149" s="8">
        <v>10</v>
      </c>
      <c r="I149" s="8">
        <v>447.63</v>
      </c>
      <c r="J149" s="8">
        <v>5</v>
      </c>
      <c r="K149" s="8">
        <v>4252.4799999999996</v>
      </c>
      <c r="L149" s="5" t="s">
        <v>65</v>
      </c>
      <c r="M149" s="7" t="s">
        <v>30</v>
      </c>
      <c r="N149" s="6">
        <v>45931</v>
      </c>
      <c r="O149" s="8">
        <v>3</v>
      </c>
    </row>
    <row r="150" spans="1:15" ht="15.75" thickBot="1" x14ac:dyDescent="0.3">
      <c r="A150" s="5" t="s">
        <v>315</v>
      </c>
      <c r="B150" s="6">
        <v>45918</v>
      </c>
      <c r="C150" s="5" t="s">
        <v>293</v>
      </c>
      <c r="D150" s="5" t="s">
        <v>39</v>
      </c>
      <c r="E150" s="5" t="s">
        <v>40</v>
      </c>
      <c r="F150" s="5" t="s">
        <v>19</v>
      </c>
      <c r="G150" s="5" t="s">
        <v>64</v>
      </c>
      <c r="H150" s="8">
        <v>10</v>
      </c>
      <c r="I150" s="8">
        <v>156.9</v>
      </c>
      <c r="J150" s="8">
        <v>0</v>
      </c>
      <c r="K150" s="8">
        <v>1569</v>
      </c>
      <c r="L150" s="7" t="s">
        <v>57</v>
      </c>
      <c r="M150" s="5" t="s">
        <v>69</v>
      </c>
      <c r="N150" s="6">
        <v>45927</v>
      </c>
      <c r="O150" s="8">
        <v>3</v>
      </c>
    </row>
    <row r="151" spans="1:15" ht="15.75" thickBot="1" x14ac:dyDescent="0.3">
      <c r="A151" s="5" t="s">
        <v>316</v>
      </c>
      <c r="B151" s="6">
        <v>45671</v>
      </c>
      <c r="C151" s="5" t="s">
        <v>317</v>
      </c>
      <c r="D151" s="7" t="s">
        <v>33</v>
      </c>
      <c r="E151" s="7" t="s">
        <v>34</v>
      </c>
      <c r="F151" s="5" t="s">
        <v>19</v>
      </c>
      <c r="G151" s="5" t="s">
        <v>64</v>
      </c>
      <c r="H151" s="8">
        <v>5</v>
      </c>
      <c r="I151" s="8">
        <v>483.86</v>
      </c>
      <c r="J151" s="8">
        <v>20</v>
      </c>
      <c r="K151" s="8">
        <v>1935.44</v>
      </c>
      <c r="L151" s="5" t="s">
        <v>65</v>
      </c>
      <c r="M151" s="7" t="s">
        <v>81</v>
      </c>
      <c r="N151" s="6">
        <v>45681</v>
      </c>
      <c r="O151" s="8">
        <v>5</v>
      </c>
    </row>
    <row r="152" spans="1:15" ht="15.75" thickBot="1" x14ac:dyDescent="0.3">
      <c r="A152" s="5" t="s">
        <v>318</v>
      </c>
      <c r="B152" s="6">
        <v>45852</v>
      </c>
      <c r="C152" s="5" t="s">
        <v>252</v>
      </c>
      <c r="D152" s="7" t="s">
        <v>51</v>
      </c>
      <c r="E152" s="7" t="s">
        <v>52</v>
      </c>
      <c r="F152" s="5" t="s">
        <v>35</v>
      </c>
      <c r="G152" s="5" t="s">
        <v>20</v>
      </c>
      <c r="H152" s="8">
        <v>1</v>
      </c>
      <c r="I152" s="8">
        <v>290.56</v>
      </c>
      <c r="J152" s="8">
        <v>0</v>
      </c>
      <c r="K152" s="8">
        <v>290.56</v>
      </c>
      <c r="L152" s="7" t="s">
        <v>57</v>
      </c>
      <c r="M152" s="7" t="s">
        <v>22</v>
      </c>
      <c r="N152" s="6">
        <v>45855</v>
      </c>
      <c r="O152" s="8">
        <v>2</v>
      </c>
    </row>
    <row r="153" spans="1:15" ht="15.75" thickBot="1" x14ac:dyDescent="0.3">
      <c r="A153" s="5" t="s">
        <v>319</v>
      </c>
      <c r="B153" s="6">
        <v>45914</v>
      </c>
      <c r="C153" s="5" t="s">
        <v>320</v>
      </c>
      <c r="D153" s="7" t="s">
        <v>51</v>
      </c>
      <c r="E153" s="7" t="s">
        <v>52</v>
      </c>
      <c r="F153" s="5" t="s">
        <v>35</v>
      </c>
      <c r="G153" s="5" t="s">
        <v>28</v>
      </c>
      <c r="H153" s="8">
        <v>8</v>
      </c>
      <c r="I153" s="8">
        <v>437.68</v>
      </c>
      <c r="J153" s="8">
        <v>0</v>
      </c>
      <c r="K153" s="8">
        <v>3501.44</v>
      </c>
      <c r="L153" s="7" t="s">
        <v>47</v>
      </c>
      <c r="M153" s="7" t="s">
        <v>81</v>
      </c>
      <c r="N153" s="6">
        <v>45927</v>
      </c>
      <c r="O153" s="8">
        <v>2</v>
      </c>
    </row>
    <row r="154" spans="1:15" ht="15.75" thickBot="1" x14ac:dyDescent="0.3">
      <c r="A154" s="5" t="s">
        <v>321</v>
      </c>
      <c r="B154" s="5" t="s">
        <v>322</v>
      </c>
      <c r="C154" s="5" t="s">
        <v>195</v>
      </c>
      <c r="D154" s="5" t="s">
        <v>55</v>
      </c>
      <c r="E154" s="5" t="s">
        <v>26</v>
      </c>
      <c r="F154" s="5" t="s">
        <v>45</v>
      </c>
      <c r="G154" s="5" t="s">
        <v>36</v>
      </c>
      <c r="H154" s="8">
        <v>9</v>
      </c>
      <c r="I154" s="8">
        <v>183.6</v>
      </c>
      <c r="J154" s="8">
        <v>10</v>
      </c>
      <c r="K154" s="8">
        <v>1487.16</v>
      </c>
      <c r="L154" s="5" t="s">
        <v>110</v>
      </c>
      <c r="M154" s="5" t="s">
        <v>69</v>
      </c>
      <c r="N154" s="6">
        <v>45890</v>
      </c>
      <c r="O154" s="8">
        <v>5</v>
      </c>
    </row>
    <row r="155" spans="1:15" ht="15.75" thickBot="1" x14ac:dyDescent="0.3">
      <c r="A155" s="5" t="s">
        <v>323</v>
      </c>
      <c r="B155" s="6">
        <v>46018</v>
      </c>
      <c r="C155" s="5" t="s">
        <v>324</v>
      </c>
      <c r="D155" s="7" t="s">
        <v>33</v>
      </c>
      <c r="E155" s="7" t="s">
        <v>34</v>
      </c>
      <c r="F155" s="7" t="s">
        <v>60</v>
      </c>
      <c r="G155" s="5" t="s">
        <v>64</v>
      </c>
      <c r="H155" s="8">
        <v>6</v>
      </c>
      <c r="I155" s="8">
        <v>245.1</v>
      </c>
      <c r="J155" s="8">
        <v>20</v>
      </c>
      <c r="K155" s="8">
        <v>1176.48</v>
      </c>
      <c r="L155" s="7" t="s">
        <v>47</v>
      </c>
      <c r="M155" s="5" t="s">
        <v>69</v>
      </c>
      <c r="N155" s="6">
        <v>46022</v>
      </c>
      <c r="O155" s="8">
        <v>3</v>
      </c>
    </row>
    <row r="156" spans="1:15" ht="15.75" thickBot="1" x14ac:dyDescent="0.3">
      <c r="A156" s="5" t="s">
        <v>325</v>
      </c>
      <c r="B156" s="6">
        <v>45732</v>
      </c>
      <c r="C156" s="5" t="s">
        <v>326</v>
      </c>
      <c r="D156" s="5" t="s">
        <v>55</v>
      </c>
      <c r="E156" s="5" t="s">
        <v>26</v>
      </c>
      <c r="F156" s="5" t="s">
        <v>35</v>
      </c>
      <c r="G156" s="5" t="s">
        <v>46</v>
      </c>
      <c r="H156" s="8">
        <v>5</v>
      </c>
      <c r="I156" s="8">
        <v>478.1</v>
      </c>
      <c r="J156" s="8">
        <v>0</v>
      </c>
      <c r="K156" s="8">
        <v>2390.5</v>
      </c>
      <c r="L156" s="7" t="s">
        <v>47</v>
      </c>
      <c r="M156" s="7" t="s">
        <v>81</v>
      </c>
      <c r="N156" s="6">
        <v>45737</v>
      </c>
      <c r="O156" s="8">
        <v>3</v>
      </c>
    </row>
    <row r="157" spans="1:15" ht="15.75" thickBot="1" x14ac:dyDescent="0.3">
      <c r="A157" s="5" t="s">
        <v>327</v>
      </c>
      <c r="B157" s="6">
        <v>45945</v>
      </c>
      <c r="C157" s="5" t="s">
        <v>328</v>
      </c>
      <c r="D157" s="7" t="s">
        <v>51</v>
      </c>
      <c r="E157" s="7" t="s">
        <v>52</v>
      </c>
      <c r="F157" s="7" t="s">
        <v>56</v>
      </c>
      <c r="G157" s="5" t="s">
        <v>36</v>
      </c>
      <c r="H157" s="8">
        <v>3</v>
      </c>
      <c r="I157" s="8">
        <v>63.52</v>
      </c>
      <c r="J157" s="8">
        <v>20</v>
      </c>
      <c r="K157" s="8">
        <v>152.44999999999999</v>
      </c>
      <c r="L157" s="5" t="s">
        <v>65</v>
      </c>
      <c r="M157" s="7" t="s">
        <v>22</v>
      </c>
      <c r="N157" s="6">
        <v>45957</v>
      </c>
      <c r="O157" s="8">
        <v>2</v>
      </c>
    </row>
    <row r="158" spans="1:15" ht="15.75" thickBot="1" x14ac:dyDescent="0.3">
      <c r="A158" s="5" t="s">
        <v>329</v>
      </c>
      <c r="B158" s="6">
        <v>45827</v>
      </c>
      <c r="C158" s="5" t="s">
        <v>330</v>
      </c>
      <c r="D158" s="7" t="s">
        <v>17</v>
      </c>
      <c r="E158" s="7" t="s">
        <v>18</v>
      </c>
      <c r="F158" s="7" t="s">
        <v>56</v>
      </c>
      <c r="G158" s="5" t="s">
        <v>64</v>
      </c>
      <c r="H158" s="8">
        <v>2</v>
      </c>
      <c r="I158" s="9">
        <v>343.78</v>
      </c>
      <c r="J158" s="8">
        <v>150</v>
      </c>
      <c r="K158" s="8">
        <v>-343.78</v>
      </c>
      <c r="L158" s="7" t="s">
        <v>57</v>
      </c>
      <c r="M158" s="7" t="s">
        <v>81</v>
      </c>
      <c r="N158" s="6">
        <v>45839</v>
      </c>
      <c r="O158" s="8">
        <v>1</v>
      </c>
    </row>
    <row r="159" spans="1:15" ht="15.75" thickBot="1" x14ac:dyDescent="0.3">
      <c r="A159" s="5" t="s">
        <v>331</v>
      </c>
      <c r="B159" s="6">
        <v>45804</v>
      </c>
      <c r="C159" s="5" t="s">
        <v>42</v>
      </c>
      <c r="D159" s="7" t="s">
        <v>72</v>
      </c>
      <c r="E159" s="7" t="s">
        <v>91</v>
      </c>
      <c r="F159" s="5" t="s">
        <v>86</v>
      </c>
      <c r="G159" s="5" t="s">
        <v>46</v>
      </c>
      <c r="H159" s="8">
        <v>2</v>
      </c>
      <c r="I159" s="8">
        <v>329.63</v>
      </c>
      <c r="J159" s="8">
        <v>5</v>
      </c>
      <c r="K159" s="8">
        <v>626.29999999999995</v>
      </c>
      <c r="L159" s="5" t="s">
        <v>29</v>
      </c>
      <c r="M159" s="5" t="s">
        <v>61</v>
      </c>
      <c r="N159" s="6">
        <v>45815</v>
      </c>
      <c r="O159" s="8">
        <v>5</v>
      </c>
    </row>
    <row r="160" spans="1:15" ht="15.75" thickBot="1" x14ac:dyDescent="0.3">
      <c r="A160" s="5" t="s">
        <v>332</v>
      </c>
      <c r="B160" s="6">
        <v>45806</v>
      </c>
      <c r="C160" s="5" t="s">
        <v>83</v>
      </c>
      <c r="D160" s="7" t="s">
        <v>33</v>
      </c>
      <c r="E160" s="7" t="s">
        <v>34</v>
      </c>
      <c r="F160" s="7" t="s">
        <v>56</v>
      </c>
      <c r="G160" s="5" t="s">
        <v>46</v>
      </c>
      <c r="H160" s="8">
        <v>0</v>
      </c>
      <c r="I160" s="8">
        <v>288.3</v>
      </c>
      <c r="J160" s="8">
        <v>0</v>
      </c>
      <c r="K160" s="8">
        <v>0</v>
      </c>
      <c r="L160" s="5" t="s">
        <v>65</v>
      </c>
      <c r="M160" s="5" t="s">
        <v>69</v>
      </c>
      <c r="N160" s="6">
        <v>45807</v>
      </c>
      <c r="O160" s="8">
        <v>3</v>
      </c>
    </row>
    <row r="161" spans="1:15" ht="15.75" thickBot="1" x14ac:dyDescent="0.3">
      <c r="A161" s="5" t="s">
        <v>333</v>
      </c>
      <c r="B161" s="6">
        <v>45897</v>
      </c>
      <c r="C161" s="5" t="s">
        <v>334</v>
      </c>
      <c r="D161" s="7" t="s">
        <v>17</v>
      </c>
      <c r="E161" s="7" t="s">
        <v>18</v>
      </c>
      <c r="F161" s="7" t="s">
        <v>56</v>
      </c>
      <c r="G161" s="5" t="s">
        <v>20</v>
      </c>
      <c r="H161" s="8">
        <v>2</v>
      </c>
      <c r="I161" s="8">
        <v>172.04</v>
      </c>
      <c r="J161" s="8">
        <v>15</v>
      </c>
      <c r="K161" s="8">
        <v>292.47000000000003</v>
      </c>
      <c r="L161" s="5" t="s">
        <v>110</v>
      </c>
      <c r="M161" s="5" t="s">
        <v>48</v>
      </c>
      <c r="N161" s="6">
        <v>45902</v>
      </c>
      <c r="O161" s="8">
        <v>3</v>
      </c>
    </row>
    <row r="162" spans="1:15" ht="15.75" thickBot="1" x14ac:dyDescent="0.3">
      <c r="A162" s="5" t="s">
        <v>335</v>
      </c>
      <c r="B162" s="6">
        <v>45970</v>
      </c>
      <c r="C162" s="5" t="s">
        <v>115</v>
      </c>
      <c r="D162" s="7" t="s">
        <v>43</v>
      </c>
      <c r="E162" s="7" t="s">
        <v>91</v>
      </c>
      <c r="F162" s="5" t="s">
        <v>45</v>
      </c>
      <c r="G162" s="5" t="s">
        <v>64</v>
      </c>
      <c r="H162" s="8">
        <v>7</v>
      </c>
      <c r="I162" s="8">
        <v>262.49</v>
      </c>
      <c r="J162" s="8">
        <v>0</v>
      </c>
      <c r="K162" s="8">
        <v>1837.43</v>
      </c>
      <c r="L162" s="7" t="s">
        <v>57</v>
      </c>
      <c r="M162" s="5" t="s">
        <v>48</v>
      </c>
      <c r="N162" s="6">
        <v>45984</v>
      </c>
      <c r="O162" s="8">
        <v>4</v>
      </c>
    </row>
    <row r="163" spans="1:15" ht="15.75" thickBot="1" x14ac:dyDescent="0.3">
      <c r="A163" s="5" t="s">
        <v>336</v>
      </c>
      <c r="B163" s="6">
        <v>45778</v>
      </c>
      <c r="C163" s="5" t="s">
        <v>309</v>
      </c>
      <c r="D163" s="5" t="s">
        <v>39</v>
      </c>
      <c r="E163" s="5" t="s">
        <v>40</v>
      </c>
      <c r="F163" s="5" t="s">
        <v>35</v>
      </c>
      <c r="G163" s="5" t="s">
        <v>36</v>
      </c>
      <c r="H163" s="8">
        <v>6</v>
      </c>
      <c r="I163" s="8">
        <v>157.94999999999999</v>
      </c>
      <c r="J163" s="8">
        <v>20</v>
      </c>
      <c r="K163" s="8">
        <v>758.16</v>
      </c>
      <c r="L163" s="7" t="s">
        <v>47</v>
      </c>
      <c r="M163" s="7" t="s">
        <v>22</v>
      </c>
      <c r="N163" s="6">
        <v>45786</v>
      </c>
      <c r="O163" s="8">
        <v>1</v>
      </c>
    </row>
    <row r="164" spans="1:15" ht="15.75" thickBot="1" x14ac:dyDescent="0.3">
      <c r="A164" s="5" t="s">
        <v>337</v>
      </c>
      <c r="B164" s="6">
        <v>45844</v>
      </c>
      <c r="C164" s="5" t="s">
        <v>16</v>
      </c>
      <c r="D164" s="7" t="s">
        <v>338</v>
      </c>
      <c r="E164" s="7" t="s">
        <v>44</v>
      </c>
      <c r="F164" s="7" t="s">
        <v>60</v>
      </c>
      <c r="G164" s="5" t="s">
        <v>64</v>
      </c>
      <c r="H164" s="7">
        <v>9</v>
      </c>
      <c r="I164" s="8">
        <v>462.32</v>
      </c>
      <c r="J164" s="8">
        <v>10</v>
      </c>
      <c r="K164" s="8">
        <v>3744.79</v>
      </c>
      <c r="L164" s="5" t="s">
        <v>29</v>
      </c>
      <c r="M164" s="7" t="s">
        <v>22</v>
      </c>
      <c r="N164" s="10">
        <v>45818</v>
      </c>
      <c r="O164" s="11"/>
    </row>
    <row r="165" spans="1:15" ht="15.75" thickBot="1" x14ac:dyDescent="0.3">
      <c r="A165" s="5" t="s">
        <v>339</v>
      </c>
      <c r="B165" s="6">
        <v>45968</v>
      </c>
      <c r="C165" s="5" t="s">
        <v>340</v>
      </c>
      <c r="D165" s="7" t="s">
        <v>51</v>
      </c>
      <c r="E165" s="7" t="s">
        <v>52</v>
      </c>
      <c r="F165" s="7" t="s">
        <v>27</v>
      </c>
      <c r="G165" s="5" t="s">
        <v>64</v>
      </c>
      <c r="H165" s="8">
        <v>9</v>
      </c>
      <c r="I165" s="8">
        <v>457.27</v>
      </c>
      <c r="J165" s="8">
        <v>20</v>
      </c>
      <c r="K165" s="8">
        <v>3292.34</v>
      </c>
      <c r="L165" s="5" t="s">
        <v>65</v>
      </c>
      <c r="M165" s="5" t="s">
        <v>61</v>
      </c>
      <c r="N165" s="6">
        <v>45974</v>
      </c>
      <c r="O165" s="8">
        <v>2</v>
      </c>
    </row>
    <row r="166" spans="1:15" ht="15.75" thickBot="1" x14ac:dyDescent="0.3">
      <c r="A166" s="5" t="s">
        <v>341</v>
      </c>
      <c r="B166" s="6">
        <v>45697</v>
      </c>
      <c r="C166" s="5" t="s">
        <v>342</v>
      </c>
      <c r="D166" s="7" t="s">
        <v>17</v>
      </c>
      <c r="E166" s="7" t="s">
        <v>91</v>
      </c>
      <c r="F166" s="5" t="s">
        <v>35</v>
      </c>
      <c r="G166" s="5" t="s">
        <v>46</v>
      </c>
      <c r="H166" s="8">
        <v>-2</v>
      </c>
      <c r="I166" s="8">
        <v>416.1</v>
      </c>
      <c r="J166" s="8">
        <v>20</v>
      </c>
      <c r="K166" s="8">
        <v>-665.76</v>
      </c>
      <c r="L166" s="5" t="s">
        <v>65</v>
      </c>
      <c r="M166" s="7" t="s">
        <v>81</v>
      </c>
      <c r="N166" s="11"/>
      <c r="O166" s="8">
        <v>2</v>
      </c>
    </row>
    <row r="167" spans="1:15" ht="15.75" thickBot="1" x14ac:dyDescent="0.3">
      <c r="A167" s="5" t="s">
        <v>343</v>
      </c>
      <c r="B167" s="6">
        <v>45908</v>
      </c>
      <c r="C167" s="5" t="s">
        <v>115</v>
      </c>
      <c r="D167" s="7" t="s">
        <v>25</v>
      </c>
      <c r="E167" s="5" t="s">
        <v>26</v>
      </c>
      <c r="F167" s="7" t="s">
        <v>60</v>
      </c>
      <c r="G167" s="5" t="s">
        <v>28</v>
      </c>
      <c r="H167" s="8">
        <v>8</v>
      </c>
      <c r="I167" s="8">
        <v>406.26</v>
      </c>
      <c r="J167" s="8">
        <v>15</v>
      </c>
      <c r="K167" s="8">
        <v>2762.57</v>
      </c>
      <c r="L167" s="5" t="s">
        <v>21</v>
      </c>
      <c r="M167" s="5" t="s">
        <v>69</v>
      </c>
      <c r="N167" s="6">
        <v>45910</v>
      </c>
      <c r="O167" s="8">
        <v>2</v>
      </c>
    </row>
    <row r="168" spans="1:15" ht="15.75" thickBot="1" x14ac:dyDescent="0.3">
      <c r="A168" s="5" t="s">
        <v>344</v>
      </c>
      <c r="B168" s="6">
        <v>45860</v>
      </c>
      <c r="C168" s="5" t="s">
        <v>345</v>
      </c>
      <c r="D168" s="5" t="s">
        <v>39</v>
      </c>
      <c r="E168" s="5" t="s">
        <v>40</v>
      </c>
      <c r="F168" s="5" t="s">
        <v>19</v>
      </c>
      <c r="G168" s="5" t="s">
        <v>46</v>
      </c>
      <c r="H168" s="8">
        <v>4</v>
      </c>
      <c r="I168" s="8">
        <v>293.37</v>
      </c>
      <c r="J168" s="8">
        <v>0</v>
      </c>
      <c r="K168" s="8">
        <v>1173.48</v>
      </c>
      <c r="L168" s="5" t="s">
        <v>65</v>
      </c>
      <c r="M168" s="5" t="s">
        <v>61</v>
      </c>
      <c r="N168" s="6">
        <v>45865</v>
      </c>
      <c r="O168" s="8">
        <v>4</v>
      </c>
    </row>
    <row r="169" spans="1:15" ht="15.75" thickBot="1" x14ac:dyDescent="0.3">
      <c r="A169" s="5" t="s">
        <v>346</v>
      </c>
      <c r="B169" s="12">
        <v>45658</v>
      </c>
      <c r="C169" s="5" t="s">
        <v>193</v>
      </c>
      <c r="D169" s="7" t="s">
        <v>51</v>
      </c>
      <c r="E169" s="7" t="s">
        <v>52</v>
      </c>
      <c r="F169" s="7" t="s">
        <v>27</v>
      </c>
      <c r="G169" s="5" t="s">
        <v>20</v>
      </c>
      <c r="H169" s="8">
        <v>3</v>
      </c>
      <c r="I169" s="8">
        <v>385.26</v>
      </c>
      <c r="J169" s="8">
        <v>15</v>
      </c>
      <c r="K169" s="8">
        <v>982.41</v>
      </c>
      <c r="L169" s="7" t="s">
        <v>57</v>
      </c>
      <c r="M169" s="7" t="s">
        <v>81</v>
      </c>
      <c r="N169" s="6">
        <v>45811</v>
      </c>
      <c r="O169" s="8">
        <v>3</v>
      </c>
    </row>
    <row r="170" spans="1:15" ht="15.75" thickBot="1" x14ac:dyDescent="0.3">
      <c r="A170" s="5" t="s">
        <v>347</v>
      </c>
      <c r="B170" s="6">
        <v>45726</v>
      </c>
      <c r="C170" s="5" t="s">
        <v>348</v>
      </c>
      <c r="D170" s="7" t="s">
        <v>17</v>
      </c>
      <c r="E170" s="7" t="s">
        <v>91</v>
      </c>
      <c r="F170" s="5" t="s">
        <v>45</v>
      </c>
      <c r="G170" s="5" t="s">
        <v>36</v>
      </c>
      <c r="H170" s="8">
        <v>2</v>
      </c>
      <c r="I170" s="8">
        <v>97.45</v>
      </c>
      <c r="J170" s="8">
        <v>20</v>
      </c>
      <c r="K170" s="8">
        <v>155.91999999999999</v>
      </c>
      <c r="L170" s="5" t="s">
        <v>21</v>
      </c>
      <c r="M170" s="5" t="s">
        <v>61</v>
      </c>
      <c r="N170" s="6">
        <v>45737</v>
      </c>
      <c r="O170" s="8">
        <v>4</v>
      </c>
    </row>
    <row r="171" spans="1:15" ht="15.75" thickBot="1" x14ac:dyDescent="0.3">
      <c r="A171" s="5" t="s">
        <v>349</v>
      </c>
      <c r="B171" s="6">
        <v>45875</v>
      </c>
      <c r="C171" s="5" t="s">
        <v>350</v>
      </c>
      <c r="D171" s="7" t="s">
        <v>33</v>
      </c>
      <c r="E171" s="7" t="s">
        <v>34</v>
      </c>
      <c r="F171" s="7" t="s">
        <v>56</v>
      </c>
      <c r="G171" s="5" t="s">
        <v>64</v>
      </c>
      <c r="H171" s="8">
        <v>4</v>
      </c>
      <c r="I171" s="8">
        <v>131.28</v>
      </c>
      <c r="J171" s="8">
        <v>10</v>
      </c>
      <c r="K171" s="8">
        <v>472.61</v>
      </c>
      <c r="L171" s="5" t="s">
        <v>21</v>
      </c>
      <c r="M171" s="5" t="s">
        <v>61</v>
      </c>
      <c r="N171" s="6">
        <v>45884</v>
      </c>
      <c r="O171" s="8">
        <v>2</v>
      </c>
    </row>
    <row r="172" spans="1:15" ht="15.75" thickBot="1" x14ac:dyDescent="0.3">
      <c r="A172" s="5" t="s">
        <v>351</v>
      </c>
      <c r="B172" s="10">
        <v>45763</v>
      </c>
      <c r="C172" s="11"/>
      <c r="D172" s="7" t="s">
        <v>51</v>
      </c>
      <c r="E172" s="7" t="s">
        <v>52</v>
      </c>
      <c r="F172" s="5" t="s">
        <v>19</v>
      </c>
      <c r="G172" s="5" t="s">
        <v>46</v>
      </c>
      <c r="H172" s="8">
        <v>10</v>
      </c>
      <c r="I172" s="9">
        <v>26.45</v>
      </c>
      <c r="J172" s="8">
        <v>20</v>
      </c>
      <c r="K172" s="8">
        <v>211.6</v>
      </c>
      <c r="L172" s="7" t="s">
        <v>57</v>
      </c>
      <c r="M172" s="7" t="s">
        <v>81</v>
      </c>
      <c r="N172" s="6">
        <v>45765</v>
      </c>
      <c r="O172" s="8">
        <v>8</v>
      </c>
    </row>
    <row r="173" spans="1:15" ht="15.75" thickBot="1" x14ac:dyDescent="0.3">
      <c r="A173" s="5" t="s">
        <v>352</v>
      </c>
      <c r="B173" s="6">
        <v>45729</v>
      </c>
      <c r="C173" s="5" t="s">
        <v>353</v>
      </c>
      <c r="D173" s="5" t="s">
        <v>39</v>
      </c>
      <c r="E173" s="5" t="s">
        <v>40</v>
      </c>
      <c r="F173" s="5" t="s">
        <v>35</v>
      </c>
      <c r="G173" s="5" t="s">
        <v>36</v>
      </c>
      <c r="H173" s="8">
        <v>4</v>
      </c>
      <c r="I173" s="8">
        <v>409.74</v>
      </c>
      <c r="J173" s="8">
        <v>20</v>
      </c>
      <c r="K173" s="8">
        <v>1311.17</v>
      </c>
      <c r="L173" s="5" t="s">
        <v>29</v>
      </c>
      <c r="M173" s="7" t="s">
        <v>30</v>
      </c>
      <c r="N173" s="6">
        <v>45738</v>
      </c>
      <c r="O173" s="8">
        <v>3</v>
      </c>
    </row>
    <row r="174" spans="1:15" ht="15.75" thickBot="1" x14ac:dyDescent="0.3">
      <c r="A174" s="5" t="s">
        <v>354</v>
      </c>
      <c r="B174" s="5" t="s">
        <v>355</v>
      </c>
      <c r="C174" s="5" t="s">
        <v>356</v>
      </c>
      <c r="D174" s="5" t="s">
        <v>55</v>
      </c>
      <c r="E174" s="5" t="s">
        <v>26</v>
      </c>
      <c r="F174" s="5" t="s">
        <v>35</v>
      </c>
      <c r="G174" s="5" t="s">
        <v>28</v>
      </c>
      <c r="H174" s="8">
        <v>10</v>
      </c>
      <c r="I174" s="8">
        <v>441.06</v>
      </c>
      <c r="J174" s="8">
        <v>5</v>
      </c>
      <c r="K174" s="8">
        <v>4190.07</v>
      </c>
      <c r="L174" s="7" t="s">
        <v>47</v>
      </c>
      <c r="M174" s="7" t="s">
        <v>30</v>
      </c>
      <c r="N174" s="6">
        <v>45799</v>
      </c>
      <c r="O174" s="8">
        <v>4</v>
      </c>
    </row>
    <row r="175" spans="1:15" ht="15.75" thickBot="1" x14ac:dyDescent="0.3">
      <c r="A175" s="5" t="s">
        <v>357</v>
      </c>
      <c r="B175" s="6">
        <v>46014</v>
      </c>
      <c r="C175" s="5" t="s">
        <v>88</v>
      </c>
      <c r="D175" s="5" t="s">
        <v>55</v>
      </c>
      <c r="E175" s="5" t="s">
        <v>26</v>
      </c>
      <c r="F175" s="7" t="s">
        <v>27</v>
      </c>
      <c r="G175" s="5" t="s">
        <v>64</v>
      </c>
      <c r="H175" s="8">
        <v>3</v>
      </c>
      <c r="I175" s="8">
        <v>156.94999999999999</v>
      </c>
      <c r="J175" s="8">
        <v>5</v>
      </c>
      <c r="K175" s="8">
        <v>447.31</v>
      </c>
      <c r="L175" s="5" t="s">
        <v>29</v>
      </c>
      <c r="M175" s="5" t="s">
        <v>48</v>
      </c>
      <c r="N175" s="6">
        <v>46021</v>
      </c>
      <c r="O175" s="8">
        <v>5</v>
      </c>
    </row>
    <row r="176" spans="1:15" ht="15.75" thickBot="1" x14ac:dyDescent="0.3">
      <c r="A176" s="5" t="s">
        <v>358</v>
      </c>
      <c r="B176" s="6">
        <v>45945</v>
      </c>
      <c r="C176" s="5" t="s">
        <v>83</v>
      </c>
      <c r="D176" s="7" t="s">
        <v>33</v>
      </c>
      <c r="E176" s="7" t="s">
        <v>34</v>
      </c>
      <c r="F176" s="5" t="s">
        <v>35</v>
      </c>
      <c r="G176" s="5" t="s">
        <v>64</v>
      </c>
      <c r="H176" s="8">
        <v>9</v>
      </c>
      <c r="I176" s="8">
        <v>269.7</v>
      </c>
      <c r="J176" s="8">
        <v>15</v>
      </c>
      <c r="K176" s="8">
        <v>2063.1999999999998</v>
      </c>
      <c r="L176" s="7" t="s">
        <v>47</v>
      </c>
      <c r="M176" s="5" t="s">
        <v>61</v>
      </c>
      <c r="N176" s="6">
        <v>45952</v>
      </c>
      <c r="O176" s="8">
        <v>2</v>
      </c>
    </row>
    <row r="177" spans="1:15" ht="15.75" thickBot="1" x14ac:dyDescent="0.3">
      <c r="A177" s="5" t="s">
        <v>359</v>
      </c>
      <c r="B177" s="6">
        <v>45932</v>
      </c>
      <c r="C177" s="5" t="s">
        <v>360</v>
      </c>
      <c r="D177" s="7" t="s">
        <v>72</v>
      </c>
      <c r="E177" s="7" t="s">
        <v>44</v>
      </c>
      <c r="F177" s="5" t="s">
        <v>19</v>
      </c>
      <c r="G177" s="5" t="s">
        <v>20</v>
      </c>
      <c r="H177" s="8">
        <v>1</v>
      </c>
      <c r="I177" s="8">
        <v>141.55000000000001</v>
      </c>
      <c r="J177" s="8">
        <v>20</v>
      </c>
      <c r="K177" s="8">
        <v>113.24</v>
      </c>
      <c r="L177" s="5" t="s">
        <v>29</v>
      </c>
      <c r="M177" s="5" t="s">
        <v>69</v>
      </c>
      <c r="N177" s="6">
        <v>45944</v>
      </c>
      <c r="O177" s="8">
        <v>5</v>
      </c>
    </row>
    <row r="178" spans="1:15" ht="15.75" thickBot="1" x14ac:dyDescent="0.3">
      <c r="A178" s="5" t="s">
        <v>361</v>
      </c>
      <c r="B178" s="6">
        <v>45828</v>
      </c>
      <c r="C178" s="5" t="s">
        <v>362</v>
      </c>
      <c r="D178" s="7" t="s">
        <v>51</v>
      </c>
      <c r="E178" s="7" t="s">
        <v>52</v>
      </c>
      <c r="F178" s="7" t="s">
        <v>60</v>
      </c>
      <c r="G178" s="5" t="s">
        <v>46</v>
      </c>
      <c r="H178" s="8">
        <v>4</v>
      </c>
      <c r="I178" s="8">
        <v>469.21</v>
      </c>
      <c r="J178" s="8">
        <v>0</v>
      </c>
      <c r="K178" s="8">
        <v>1876.84</v>
      </c>
      <c r="L178" s="7" t="s">
        <v>47</v>
      </c>
      <c r="M178" s="7" t="s">
        <v>22</v>
      </c>
      <c r="N178" s="6">
        <v>45833</v>
      </c>
      <c r="O178" s="8">
        <v>4</v>
      </c>
    </row>
    <row r="179" spans="1:15" ht="15.75" thickBot="1" x14ac:dyDescent="0.3">
      <c r="A179" s="5" t="s">
        <v>363</v>
      </c>
      <c r="B179" s="6">
        <v>45822</v>
      </c>
      <c r="C179" s="5" t="s">
        <v>364</v>
      </c>
      <c r="D179" s="7" t="s">
        <v>33</v>
      </c>
      <c r="E179" s="7" t="s">
        <v>34</v>
      </c>
      <c r="F179" s="7" t="s">
        <v>60</v>
      </c>
      <c r="G179" s="5" t="s">
        <v>36</v>
      </c>
      <c r="H179" s="8">
        <v>7</v>
      </c>
      <c r="I179" s="8">
        <v>238.46</v>
      </c>
      <c r="J179" s="8">
        <v>10</v>
      </c>
      <c r="K179" s="8">
        <v>1502.3</v>
      </c>
      <c r="L179" s="7" t="s">
        <v>57</v>
      </c>
      <c r="M179" s="7" t="s">
        <v>81</v>
      </c>
      <c r="N179" s="6">
        <v>45819</v>
      </c>
      <c r="O179" s="8">
        <v>3</v>
      </c>
    </row>
    <row r="180" spans="1:15" ht="15.75" thickBot="1" x14ac:dyDescent="0.3">
      <c r="A180" s="5" t="s">
        <v>365</v>
      </c>
      <c r="B180" s="6">
        <v>45821</v>
      </c>
      <c r="C180" s="5" t="s">
        <v>317</v>
      </c>
      <c r="D180" s="7" t="s">
        <v>17</v>
      </c>
      <c r="E180" s="7" t="s">
        <v>18</v>
      </c>
      <c r="F180" s="5" t="s">
        <v>35</v>
      </c>
      <c r="G180" s="5" t="s">
        <v>36</v>
      </c>
      <c r="H180" s="7">
        <v>6</v>
      </c>
      <c r="I180" s="8">
        <v>212.83</v>
      </c>
      <c r="J180" s="8">
        <v>150</v>
      </c>
      <c r="K180" s="8">
        <v>-638.49</v>
      </c>
      <c r="L180" s="5" t="s">
        <v>65</v>
      </c>
      <c r="M180" s="5" t="s">
        <v>69</v>
      </c>
      <c r="N180" s="6">
        <v>45825</v>
      </c>
      <c r="O180" s="8">
        <v>2</v>
      </c>
    </row>
    <row r="181" spans="1:15" ht="15.75" thickBot="1" x14ac:dyDescent="0.3">
      <c r="A181" s="5" t="s">
        <v>366</v>
      </c>
      <c r="B181" s="6">
        <v>45736</v>
      </c>
      <c r="C181" s="5" t="s">
        <v>281</v>
      </c>
      <c r="D181" s="5" t="s">
        <v>39</v>
      </c>
      <c r="E181" s="5" t="s">
        <v>40</v>
      </c>
      <c r="F181" s="7" t="s">
        <v>27</v>
      </c>
      <c r="G181" s="5" t="s">
        <v>36</v>
      </c>
      <c r="H181" s="8">
        <v>4</v>
      </c>
      <c r="I181" s="8">
        <v>196.12</v>
      </c>
      <c r="J181" s="8">
        <v>5</v>
      </c>
      <c r="K181" s="8">
        <v>745.26</v>
      </c>
      <c r="L181" s="7" t="s">
        <v>57</v>
      </c>
      <c r="M181" s="7" t="s">
        <v>30</v>
      </c>
      <c r="N181" s="6">
        <v>45740</v>
      </c>
      <c r="O181" s="8">
        <v>4</v>
      </c>
    </row>
    <row r="182" spans="1:15" ht="15.75" thickBot="1" x14ac:dyDescent="0.3">
      <c r="A182" s="5" t="s">
        <v>367</v>
      </c>
      <c r="B182" s="6">
        <v>45744</v>
      </c>
      <c r="C182" s="5" t="s">
        <v>197</v>
      </c>
      <c r="D182" s="7" t="s">
        <v>72</v>
      </c>
      <c r="E182" s="7" t="s">
        <v>91</v>
      </c>
      <c r="F182" s="7" t="s">
        <v>27</v>
      </c>
      <c r="G182" s="5" t="s">
        <v>28</v>
      </c>
      <c r="H182" s="8">
        <v>8</v>
      </c>
      <c r="I182" s="8">
        <v>100.18</v>
      </c>
      <c r="J182" s="8">
        <v>20</v>
      </c>
      <c r="K182" s="8">
        <v>641.15</v>
      </c>
      <c r="L182" s="5" t="s">
        <v>21</v>
      </c>
      <c r="M182" s="7" t="s">
        <v>30</v>
      </c>
      <c r="N182" s="6">
        <v>45747</v>
      </c>
      <c r="O182" s="8">
        <v>1</v>
      </c>
    </row>
    <row r="183" spans="1:15" ht="15.75" thickBot="1" x14ac:dyDescent="0.3">
      <c r="A183" s="5" t="s">
        <v>368</v>
      </c>
      <c r="B183" s="6">
        <v>45728</v>
      </c>
      <c r="C183" s="5" t="s">
        <v>148</v>
      </c>
      <c r="D183" s="5" t="s">
        <v>55</v>
      </c>
      <c r="E183" s="5" t="s">
        <v>26</v>
      </c>
      <c r="F183" s="5" t="s">
        <v>19</v>
      </c>
      <c r="G183" s="5" t="s">
        <v>20</v>
      </c>
      <c r="H183" s="8">
        <v>2</v>
      </c>
      <c r="I183" s="8">
        <v>356.51</v>
      </c>
      <c r="J183" s="8">
        <v>0</v>
      </c>
      <c r="K183" s="8">
        <v>713.02</v>
      </c>
      <c r="L183" s="5" t="s">
        <v>65</v>
      </c>
      <c r="M183" s="7" t="s">
        <v>30</v>
      </c>
      <c r="N183" s="6">
        <v>45742</v>
      </c>
      <c r="O183" s="8">
        <v>2</v>
      </c>
    </row>
    <row r="184" spans="1:15" ht="15.75" thickBot="1" x14ac:dyDescent="0.3">
      <c r="A184" s="5" t="s">
        <v>369</v>
      </c>
      <c r="B184" s="6">
        <v>45847</v>
      </c>
      <c r="C184" s="5" t="s">
        <v>193</v>
      </c>
      <c r="D184" s="7" t="s">
        <v>33</v>
      </c>
      <c r="E184" s="7" t="s">
        <v>34</v>
      </c>
      <c r="F184" s="5" t="s">
        <v>35</v>
      </c>
      <c r="G184" s="5" t="s">
        <v>46</v>
      </c>
      <c r="H184" s="8">
        <v>-2</v>
      </c>
      <c r="I184" s="8">
        <v>280.31</v>
      </c>
      <c r="J184" s="8">
        <v>0</v>
      </c>
      <c r="K184" s="8">
        <v>-560.62</v>
      </c>
      <c r="L184" s="5" t="s">
        <v>21</v>
      </c>
      <c r="M184" s="5" t="s">
        <v>69</v>
      </c>
      <c r="N184" s="10">
        <v>45908</v>
      </c>
      <c r="O184" s="11"/>
    </row>
    <row r="185" spans="1:15" ht="15.75" thickBot="1" x14ac:dyDescent="0.3">
      <c r="A185" s="5" t="s">
        <v>370</v>
      </c>
      <c r="B185" s="6">
        <v>45707</v>
      </c>
      <c r="C185" s="5" t="s">
        <v>270</v>
      </c>
      <c r="D185" s="5" t="s">
        <v>39</v>
      </c>
      <c r="E185" s="5" t="s">
        <v>40</v>
      </c>
      <c r="F185" s="7" t="s">
        <v>27</v>
      </c>
      <c r="G185" s="5" t="s">
        <v>20</v>
      </c>
      <c r="H185" s="8">
        <v>4</v>
      </c>
      <c r="I185" s="8">
        <v>104.05</v>
      </c>
      <c r="J185" s="8">
        <v>20</v>
      </c>
      <c r="K185" s="8">
        <v>332.96</v>
      </c>
      <c r="L185" s="7" t="s">
        <v>57</v>
      </c>
      <c r="M185" s="5" t="s">
        <v>61</v>
      </c>
      <c r="N185" s="6">
        <v>45716</v>
      </c>
      <c r="O185" s="8">
        <v>3</v>
      </c>
    </row>
    <row r="186" spans="1:15" ht="15.75" thickBot="1" x14ac:dyDescent="0.3">
      <c r="A186" s="5" t="s">
        <v>371</v>
      </c>
      <c r="B186" s="12">
        <v>45782</v>
      </c>
      <c r="C186" s="5" t="s">
        <v>372</v>
      </c>
      <c r="D186" s="7" t="s">
        <v>43</v>
      </c>
      <c r="E186" s="7" t="s">
        <v>91</v>
      </c>
      <c r="F186" s="5" t="s">
        <v>86</v>
      </c>
      <c r="G186" s="5" t="s">
        <v>20</v>
      </c>
      <c r="H186" s="8">
        <v>0</v>
      </c>
      <c r="I186" s="9">
        <v>345.18</v>
      </c>
      <c r="J186" s="8">
        <v>0</v>
      </c>
      <c r="K186" s="8">
        <v>0</v>
      </c>
      <c r="L186" s="7" t="s">
        <v>57</v>
      </c>
      <c r="M186" s="5" t="s">
        <v>69</v>
      </c>
      <c r="N186" s="6">
        <v>45794</v>
      </c>
      <c r="O186" s="8">
        <v>1</v>
      </c>
    </row>
    <row r="187" spans="1:15" ht="15.75" thickBot="1" x14ac:dyDescent="0.3">
      <c r="A187" s="5" t="s">
        <v>373</v>
      </c>
      <c r="B187" s="6">
        <v>46017</v>
      </c>
      <c r="C187" s="5" t="s">
        <v>374</v>
      </c>
      <c r="D187" s="7" t="s">
        <v>43</v>
      </c>
      <c r="E187" s="7" t="s">
        <v>18</v>
      </c>
      <c r="F187" s="5" t="s">
        <v>19</v>
      </c>
      <c r="G187" s="5" t="s">
        <v>46</v>
      </c>
      <c r="H187" s="8">
        <v>8</v>
      </c>
      <c r="I187" s="8">
        <v>424.21</v>
      </c>
      <c r="J187" s="8">
        <v>10</v>
      </c>
      <c r="K187" s="8">
        <v>3054.31</v>
      </c>
      <c r="L187" s="5" t="s">
        <v>29</v>
      </c>
      <c r="M187" s="7" t="s">
        <v>22</v>
      </c>
      <c r="N187" s="6">
        <v>46020</v>
      </c>
      <c r="O187" s="8">
        <v>5</v>
      </c>
    </row>
    <row r="188" spans="1:15" ht="15.75" thickBot="1" x14ac:dyDescent="0.3">
      <c r="A188" s="5" t="s">
        <v>375</v>
      </c>
      <c r="B188" s="6">
        <v>45696</v>
      </c>
      <c r="C188" s="5" t="s">
        <v>376</v>
      </c>
      <c r="D188" s="5" t="s">
        <v>39</v>
      </c>
      <c r="E188" s="5" t="s">
        <v>40</v>
      </c>
      <c r="F188" s="5" t="s">
        <v>45</v>
      </c>
      <c r="G188" s="5" t="s">
        <v>36</v>
      </c>
      <c r="H188" s="8">
        <v>9</v>
      </c>
      <c r="I188" s="8">
        <v>286.12</v>
      </c>
      <c r="J188" s="8">
        <v>0</v>
      </c>
      <c r="K188" s="8">
        <v>2575.08</v>
      </c>
      <c r="L188" s="5" t="s">
        <v>65</v>
      </c>
      <c r="M188" s="7" t="s">
        <v>22</v>
      </c>
      <c r="N188" s="6">
        <v>45707</v>
      </c>
      <c r="O188" s="8">
        <v>2</v>
      </c>
    </row>
    <row r="189" spans="1:15" ht="15.75" thickBot="1" x14ac:dyDescent="0.3">
      <c r="A189" s="5" t="s">
        <v>377</v>
      </c>
      <c r="B189" s="6">
        <v>45741</v>
      </c>
      <c r="C189" s="5" t="s">
        <v>378</v>
      </c>
      <c r="D189" s="5" t="s">
        <v>39</v>
      </c>
      <c r="E189" s="5" t="s">
        <v>40</v>
      </c>
      <c r="F189" s="7" t="s">
        <v>27</v>
      </c>
      <c r="G189" s="5" t="s">
        <v>20</v>
      </c>
      <c r="H189" s="8">
        <v>10</v>
      </c>
      <c r="I189" s="8">
        <v>418.98</v>
      </c>
      <c r="J189" s="8">
        <v>15</v>
      </c>
      <c r="K189" s="8">
        <v>3561.33</v>
      </c>
      <c r="L189" s="7" t="s">
        <v>47</v>
      </c>
      <c r="M189" s="7" t="s">
        <v>22</v>
      </c>
      <c r="N189" s="6">
        <v>45751</v>
      </c>
      <c r="O189" s="8">
        <v>5</v>
      </c>
    </row>
    <row r="190" spans="1:15" ht="15.75" thickBot="1" x14ac:dyDescent="0.3">
      <c r="A190" s="5" t="s">
        <v>379</v>
      </c>
      <c r="B190" s="6">
        <v>45685</v>
      </c>
      <c r="C190" s="5" t="s">
        <v>139</v>
      </c>
      <c r="D190" s="7" t="s">
        <v>25</v>
      </c>
      <c r="E190" s="5" t="s">
        <v>26</v>
      </c>
      <c r="F190" s="5" t="s">
        <v>35</v>
      </c>
      <c r="G190" s="5" t="s">
        <v>64</v>
      </c>
      <c r="H190" s="8">
        <v>4</v>
      </c>
      <c r="I190" s="8">
        <v>420.95</v>
      </c>
      <c r="J190" s="8">
        <v>10</v>
      </c>
      <c r="K190" s="8">
        <v>1515.42</v>
      </c>
      <c r="L190" s="5" t="s">
        <v>21</v>
      </c>
      <c r="M190" s="7" t="s">
        <v>30</v>
      </c>
      <c r="N190" s="6">
        <v>45687</v>
      </c>
      <c r="O190" s="8">
        <v>5</v>
      </c>
    </row>
    <row r="191" spans="1:15" ht="15.75" thickBot="1" x14ac:dyDescent="0.3">
      <c r="A191" s="5" t="s">
        <v>380</v>
      </c>
      <c r="B191" s="6">
        <v>45774</v>
      </c>
      <c r="C191" s="5" t="s">
        <v>83</v>
      </c>
      <c r="D191" s="7" t="s">
        <v>43</v>
      </c>
      <c r="E191" s="7" t="s">
        <v>91</v>
      </c>
      <c r="F191" s="7" t="s">
        <v>60</v>
      </c>
      <c r="G191" s="5" t="s">
        <v>28</v>
      </c>
      <c r="H191" s="8">
        <v>7</v>
      </c>
      <c r="I191" s="8">
        <v>221.61</v>
      </c>
      <c r="J191" s="8">
        <v>20</v>
      </c>
      <c r="K191" s="8">
        <v>1241.02</v>
      </c>
      <c r="L191" s="5" t="s">
        <v>110</v>
      </c>
      <c r="M191" s="7" t="s">
        <v>22</v>
      </c>
      <c r="N191" s="6">
        <v>45780</v>
      </c>
      <c r="O191" s="8">
        <v>4</v>
      </c>
    </row>
    <row r="192" spans="1:15" ht="15.75" thickBot="1" x14ac:dyDescent="0.3">
      <c r="A192" s="5" t="s">
        <v>381</v>
      </c>
      <c r="B192" s="6">
        <v>45852</v>
      </c>
      <c r="C192" s="5" t="s">
        <v>207</v>
      </c>
      <c r="D192" s="7" t="s">
        <v>72</v>
      </c>
      <c r="E192" s="7" t="s">
        <v>44</v>
      </c>
      <c r="F192" s="5" t="s">
        <v>86</v>
      </c>
      <c r="G192" s="5" t="s">
        <v>20</v>
      </c>
      <c r="H192" s="8">
        <v>7</v>
      </c>
      <c r="I192" s="8">
        <v>165.17</v>
      </c>
      <c r="J192" s="8">
        <v>0</v>
      </c>
      <c r="K192" s="8">
        <v>1156.19</v>
      </c>
      <c r="L192" s="5" t="s">
        <v>110</v>
      </c>
      <c r="M192" s="5" t="s">
        <v>48</v>
      </c>
      <c r="N192" s="6">
        <v>45864</v>
      </c>
      <c r="O192" s="8">
        <v>1</v>
      </c>
    </row>
    <row r="193" spans="1:15" ht="15.75" thickBot="1" x14ac:dyDescent="0.3">
      <c r="A193" s="5" t="s">
        <v>382</v>
      </c>
      <c r="B193" s="6">
        <v>45878</v>
      </c>
      <c r="C193" s="5" t="s">
        <v>383</v>
      </c>
      <c r="D193" s="7" t="s">
        <v>43</v>
      </c>
      <c r="E193" s="7" t="s">
        <v>44</v>
      </c>
      <c r="F193" s="7" t="s">
        <v>60</v>
      </c>
      <c r="G193" s="5" t="s">
        <v>28</v>
      </c>
      <c r="H193" s="8">
        <v>9</v>
      </c>
      <c r="I193" s="8">
        <v>261.10000000000002</v>
      </c>
      <c r="J193" s="8">
        <v>0</v>
      </c>
      <c r="K193" s="8">
        <v>2349.9</v>
      </c>
      <c r="L193" s="5" t="s">
        <v>21</v>
      </c>
      <c r="M193" s="13" t="s">
        <v>69</v>
      </c>
      <c r="N193" s="11"/>
      <c r="O193" s="8">
        <v>1</v>
      </c>
    </row>
    <row r="194" spans="1:15" ht="15.75" thickBot="1" x14ac:dyDescent="0.3">
      <c r="A194" s="5" t="s">
        <v>384</v>
      </c>
      <c r="B194" s="6">
        <v>45839</v>
      </c>
      <c r="C194" s="5" t="s">
        <v>54</v>
      </c>
      <c r="D194" s="7" t="s">
        <v>17</v>
      </c>
      <c r="E194" s="7" t="s">
        <v>18</v>
      </c>
      <c r="F194" s="5" t="s">
        <v>86</v>
      </c>
      <c r="G194" s="5" t="s">
        <v>64</v>
      </c>
      <c r="H194" s="8">
        <v>7</v>
      </c>
      <c r="I194" s="8">
        <v>391.79</v>
      </c>
      <c r="J194" s="8">
        <v>20</v>
      </c>
      <c r="K194" s="8">
        <v>2194.02</v>
      </c>
      <c r="L194" s="5" t="s">
        <v>29</v>
      </c>
      <c r="M194" s="7" t="s">
        <v>22</v>
      </c>
      <c r="N194" s="6">
        <v>45669</v>
      </c>
      <c r="O194" s="8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2"/>
  <sheetViews>
    <sheetView zoomScaleNormal="100" workbookViewId="0">
      <pane ySplit="1" topLeftCell="A2" activePane="bottomLeft" state="frozen"/>
      <selection pane="bottomLeft" activeCell="F9" sqref="F9"/>
    </sheetView>
  </sheetViews>
  <sheetFormatPr defaultRowHeight="15" x14ac:dyDescent="0.25"/>
  <cols>
    <col min="1" max="1" width="10.5703125" customWidth="1"/>
    <col min="2" max="2" width="13.28515625" style="16" customWidth="1"/>
    <col min="3" max="3" width="18.28515625" customWidth="1"/>
    <col min="4" max="4" width="15.42578125" customWidth="1"/>
    <col min="5" max="5" width="10.7109375" customWidth="1"/>
    <col min="6" max="6" width="25.7109375" customWidth="1"/>
    <col min="7" max="7" width="29.140625" bestFit="1" customWidth="1"/>
    <col min="8" max="8" width="16" customWidth="1"/>
    <col min="9" max="9" width="26" customWidth="1"/>
    <col min="10" max="10" width="17" customWidth="1"/>
    <col min="11" max="11" width="10.85546875" customWidth="1"/>
    <col min="12" max="12" width="12.7109375" style="22" customWidth="1"/>
    <col min="13" max="13" width="10.85546875" customWidth="1"/>
    <col min="14" max="14" width="13.42578125" style="25" customWidth="1"/>
    <col min="15" max="15" width="18.5703125" customWidth="1"/>
    <col min="16" max="16" width="14.140625" customWidth="1"/>
    <col min="17" max="17" width="15.140625" style="16" customWidth="1"/>
    <col min="18" max="18" width="17.7109375" customWidth="1"/>
    <col min="19" max="19" width="25.7109375" customWidth="1"/>
  </cols>
  <sheetData>
    <row r="1" spans="1:19" x14ac:dyDescent="0.25">
      <c r="A1" s="14" t="s">
        <v>0</v>
      </c>
      <c r="B1" s="17" t="s">
        <v>1</v>
      </c>
      <c r="C1" s="18" t="s">
        <v>2</v>
      </c>
      <c r="D1" s="18" t="s">
        <v>3</v>
      </c>
      <c r="E1" s="18" t="s">
        <v>4</v>
      </c>
      <c r="F1" s="18" t="s">
        <v>398</v>
      </c>
      <c r="G1" s="14" t="s">
        <v>6</v>
      </c>
      <c r="H1" s="18" t="s">
        <v>391</v>
      </c>
      <c r="I1" s="18" t="s">
        <v>397</v>
      </c>
      <c r="J1" s="18" t="s">
        <v>396</v>
      </c>
      <c r="K1" s="20" t="s">
        <v>7</v>
      </c>
      <c r="L1" s="21" t="s">
        <v>8</v>
      </c>
      <c r="M1" t="s">
        <v>9</v>
      </c>
      <c r="N1" s="24" t="s">
        <v>10</v>
      </c>
      <c r="O1" s="14" t="s">
        <v>11</v>
      </c>
      <c r="P1" s="14" t="s">
        <v>12</v>
      </c>
      <c r="Q1" s="15" t="s">
        <v>13</v>
      </c>
      <c r="R1" s="14" t="s">
        <v>14</v>
      </c>
      <c r="S1" s="14" t="s">
        <v>399</v>
      </c>
    </row>
    <row r="2" spans="1:19" x14ac:dyDescent="0.25">
      <c r="A2" t="s">
        <v>15</v>
      </c>
      <c r="B2" s="16">
        <v>45798</v>
      </c>
      <c r="C2" t="s">
        <v>16</v>
      </c>
      <c r="D2" t="s">
        <v>72</v>
      </c>
      <c r="E2" t="s">
        <v>18</v>
      </c>
      <c r="F2" t="s">
        <v>19</v>
      </c>
      <c r="G2" t="s">
        <v>20</v>
      </c>
      <c r="H2" t="s">
        <v>392</v>
      </c>
      <c r="I2" t="str">
        <f>VLOOKUP(H2,REPORT!$B$1:$C$4,2,FALSE)</f>
        <v>Electronics</v>
      </c>
      <c r="J2" t="str">
        <f>IF(F2=I2,"Match","Mismatch")</f>
        <v>Match</v>
      </c>
      <c r="K2" s="19">
        <v>3</v>
      </c>
      <c r="L2" s="22">
        <v>370.87</v>
      </c>
      <c r="M2" s="23">
        <v>0.2</v>
      </c>
      <c r="N2" s="25">
        <v>890.09</v>
      </c>
      <c r="O2" t="s">
        <v>21</v>
      </c>
      <c r="P2" t="s">
        <v>61</v>
      </c>
      <c r="Q2" s="16">
        <v>45802</v>
      </c>
      <c r="R2">
        <v>1</v>
      </c>
      <c r="S2" t="str">
        <f t="shared" ref="S2:S33" si="0">IF(B2&lt;=Q2,"YES","NO")</f>
        <v>YES</v>
      </c>
    </row>
    <row r="3" spans="1:19" x14ac:dyDescent="0.25">
      <c r="A3" t="s">
        <v>23</v>
      </c>
      <c r="B3" s="16">
        <v>45945</v>
      </c>
      <c r="C3" t="s">
        <v>24</v>
      </c>
      <c r="D3" t="s">
        <v>55</v>
      </c>
      <c r="E3" t="s">
        <v>26</v>
      </c>
      <c r="F3" t="s">
        <v>27</v>
      </c>
      <c r="G3" t="s">
        <v>28</v>
      </c>
      <c r="H3" t="s">
        <v>393</v>
      </c>
      <c r="I3" t="str">
        <f>VLOOKUP(H3,REPORT!$B$1:$C$4,2,FALSE)</f>
        <v>Beauty</v>
      </c>
      <c r="J3" t="str">
        <f t="shared" ref="J3:J66" si="1">IF(F3=I3,"Match","Mismatch")</f>
        <v>Match</v>
      </c>
      <c r="K3" s="19">
        <v>7</v>
      </c>
      <c r="L3" s="22">
        <v>118.02</v>
      </c>
      <c r="M3" s="23">
        <v>0.2</v>
      </c>
      <c r="N3" s="25">
        <v>660.91</v>
      </c>
      <c r="O3" t="s">
        <v>21</v>
      </c>
      <c r="P3" t="s">
        <v>30</v>
      </c>
      <c r="Q3" s="16">
        <v>45949</v>
      </c>
      <c r="R3">
        <v>3</v>
      </c>
      <c r="S3" t="str">
        <f t="shared" si="0"/>
        <v>YES</v>
      </c>
    </row>
    <row r="4" spans="1:19" x14ac:dyDescent="0.25">
      <c r="A4" t="s">
        <v>31</v>
      </c>
      <c r="B4" s="16">
        <v>45768</v>
      </c>
      <c r="C4" t="s">
        <v>32</v>
      </c>
      <c r="D4" t="s">
        <v>33</v>
      </c>
      <c r="E4" t="s">
        <v>34</v>
      </c>
      <c r="F4" t="s">
        <v>19</v>
      </c>
      <c r="G4" t="s">
        <v>36</v>
      </c>
      <c r="H4" t="s">
        <v>394</v>
      </c>
      <c r="I4" t="str">
        <f>VLOOKUP(H4,REPORT!$B$1:$C$4,2,FALSE)</f>
        <v>Home &amp; Kitchen</v>
      </c>
      <c r="J4" t="str">
        <f t="shared" si="1"/>
        <v>Mismatch</v>
      </c>
      <c r="K4" s="19">
        <v>2</v>
      </c>
      <c r="L4" s="22">
        <v>55.45</v>
      </c>
      <c r="M4" s="23">
        <v>0</v>
      </c>
      <c r="N4" s="25">
        <v>110.9</v>
      </c>
      <c r="O4" t="s">
        <v>21</v>
      </c>
      <c r="P4" t="s">
        <v>30</v>
      </c>
      <c r="Q4" s="16">
        <v>45781</v>
      </c>
      <c r="R4">
        <v>3</v>
      </c>
      <c r="S4" t="str">
        <f t="shared" si="0"/>
        <v>YES</v>
      </c>
    </row>
    <row r="5" spans="1:19" x14ac:dyDescent="0.25">
      <c r="A5" t="s">
        <v>37</v>
      </c>
      <c r="B5" s="16">
        <v>45932</v>
      </c>
      <c r="C5" t="s">
        <v>38</v>
      </c>
      <c r="D5" t="s">
        <v>39</v>
      </c>
      <c r="E5" t="s">
        <v>40</v>
      </c>
      <c r="F5" t="s">
        <v>19</v>
      </c>
      <c r="G5" t="s">
        <v>36</v>
      </c>
      <c r="H5" t="s">
        <v>394</v>
      </c>
      <c r="I5" t="str">
        <f>VLOOKUP(H5,REPORT!$B$1:$C$4,2,FALSE)</f>
        <v>Home &amp; Kitchen</v>
      </c>
      <c r="J5" t="str">
        <f t="shared" si="1"/>
        <v>Mismatch</v>
      </c>
      <c r="K5" s="19">
        <v>10</v>
      </c>
      <c r="L5" s="22">
        <v>443.87</v>
      </c>
      <c r="M5" s="23">
        <v>0.1</v>
      </c>
      <c r="N5" s="25">
        <v>3994.83</v>
      </c>
      <c r="O5" t="s">
        <v>21</v>
      </c>
      <c r="P5" t="s">
        <v>30</v>
      </c>
      <c r="Q5" s="16">
        <v>45707</v>
      </c>
      <c r="R5">
        <v>5</v>
      </c>
      <c r="S5" t="str">
        <f t="shared" si="0"/>
        <v>NO</v>
      </c>
    </row>
    <row r="6" spans="1:19" x14ac:dyDescent="0.25">
      <c r="A6" t="s">
        <v>41</v>
      </c>
      <c r="B6" s="16">
        <v>45777</v>
      </c>
      <c r="C6" t="s">
        <v>42</v>
      </c>
      <c r="D6" t="s">
        <v>72</v>
      </c>
      <c r="E6" t="s">
        <v>44</v>
      </c>
      <c r="F6" t="s">
        <v>19</v>
      </c>
      <c r="G6" t="s">
        <v>46</v>
      </c>
      <c r="H6" t="s">
        <v>392</v>
      </c>
      <c r="I6" t="str">
        <f>VLOOKUP(H6,REPORT!$B$1:$C$4,2,FALSE)</f>
        <v>Electronics</v>
      </c>
      <c r="J6" t="str">
        <f t="shared" si="1"/>
        <v>Match</v>
      </c>
      <c r="K6" s="19">
        <v>7</v>
      </c>
      <c r="L6" s="22">
        <v>146.21</v>
      </c>
      <c r="M6" s="23">
        <v>0.1</v>
      </c>
      <c r="N6" s="25">
        <v>921.12</v>
      </c>
      <c r="O6" t="s">
        <v>47</v>
      </c>
      <c r="P6" t="s">
        <v>48</v>
      </c>
      <c r="Q6" s="16">
        <v>45791</v>
      </c>
      <c r="R6">
        <v>2</v>
      </c>
      <c r="S6" t="str">
        <f t="shared" si="0"/>
        <v>YES</v>
      </c>
    </row>
    <row r="7" spans="1:19" x14ac:dyDescent="0.25">
      <c r="A7" t="s">
        <v>49</v>
      </c>
      <c r="B7" s="16">
        <v>45667</v>
      </c>
      <c r="C7" t="s">
        <v>50</v>
      </c>
      <c r="D7" t="s">
        <v>51</v>
      </c>
      <c r="E7" t="s">
        <v>52</v>
      </c>
      <c r="F7" t="s">
        <v>19</v>
      </c>
      <c r="G7" t="s">
        <v>20</v>
      </c>
      <c r="H7" t="s">
        <v>392</v>
      </c>
      <c r="I7" t="str">
        <f>VLOOKUP(H7,REPORT!$B$1:$C$4,2,FALSE)</f>
        <v>Electronics</v>
      </c>
      <c r="J7" t="str">
        <f t="shared" si="1"/>
        <v>Match</v>
      </c>
      <c r="K7" s="19">
        <v>3</v>
      </c>
      <c r="L7" s="22">
        <v>236.51</v>
      </c>
      <c r="M7" s="23">
        <v>0.1</v>
      </c>
      <c r="N7" s="25">
        <v>638.58000000000004</v>
      </c>
      <c r="O7" t="s">
        <v>21</v>
      </c>
      <c r="P7" t="s">
        <v>61</v>
      </c>
      <c r="Q7" s="16">
        <v>45943</v>
      </c>
      <c r="R7">
        <v>5</v>
      </c>
      <c r="S7" t="str">
        <f t="shared" si="0"/>
        <v>YES</v>
      </c>
    </row>
    <row r="8" spans="1:19" ht="14.25" customHeight="1" x14ac:dyDescent="0.25">
      <c r="A8" t="s">
        <v>53</v>
      </c>
      <c r="B8" s="16">
        <v>45795</v>
      </c>
      <c r="C8" t="s">
        <v>54</v>
      </c>
      <c r="D8" t="s">
        <v>55</v>
      </c>
      <c r="E8" t="s">
        <v>26</v>
      </c>
      <c r="F8" t="s">
        <v>60</v>
      </c>
      <c r="G8" t="s">
        <v>20</v>
      </c>
      <c r="H8" t="s">
        <v>392</v>
      </c>
      <c r="I8" t="str">
        <f>VLOOKUP(H8,REPORT!$B$1:$C$4,2,FALSE)</f>
        <v>Electronics</v>
      </c>
      <c r="J8" t="str">
        <f t="shared" si="1"/>
        <v>Mismatch</v>
      </c>
      <c r="K8" s="19">
        <v>10</v>
      </c>
      <c r="L8" s="22">
        <v>439.42</v>
      </c>
      <c r="M8" s="23">
        <v>0.1</v>
      </c>
      <c r="N8" s="25">
        <v>3954.78</v>
      </c>
      <c r="O8" t="s">
        <v>57</v>
      </c>
      <c r="P8" t="s">
        <v>61</v>
      </c>
      <c r="Q8" s="16">
        <v>45797</v>
      </c>
      <c r="R8">
        <v>2</v>
      </c>
      <c r="S8" t="str">
        <f t="shared" si="0"/>
        <v>YES</v>
      </c>
    </row>
    <row r="9" spans="1:19" x14ac:dyDescent="0.25">
      <c r="A9" t="s">
        <v>58</v>
      </c>
      <c r="B9" s="16">
        <v>45726</v>
      </c>
      <c r="C9" t="s">
        <v>59</v>
      </c>
      <c r="D9" t="s">
        <v>51</v>
      </c>
      <c r="E9" t="s">
        <v>52</v>
      </c>
      <c r="F9" t="s">
        <v>60</v>
      </c>
      <c r="G9" t="s">
        <v>28</v>
      </c>
      <c r="H9" t="s">
        <v>393</v>
      </c>
      <c r="I9" t="str">
        <f>VLOOKUP(H9,REPORT!$B$1:$C$4,2,FALSE)</f>
        <v>Beauty</v>
      </c>
      <c r="J9" t="str">
        <f t="shared" si="1"/>
        <v>Mismatch</v>
      </c>
      <c r="K9" s="19">
        <v>7</v>
      </c>
      <c r="L9" s="22">
        <v>449.93</v>
      </c>
      <c r="M9" s="23">
        <v>0.15</v>
      </c>
      <c r="N9" s="25">
        <v>2677.08</v>
      </c>
      <c r="O9" t="s">
        <v>57</v>
      </c>
      <c r="P9" t="s">
        <v>61</v>
      </c>
      <c r="Q9" s="16">
        <v>45938</v>
      </c>
      <c r="R9">
        <v>3</v>
      </c>
      <c r="S9" t="str">
        <f t="shared" si="0"/>
        <v>YES</v>
      </c>
    </row>
    <row r="10" spans="1:19" x14ac:dyDescent="0.25">
      <c r="A10" t="s">
        <v>62</v>
      </c>
      <c r="B10" s="16">
        <v>45979</v>
      </c>
      <c r="C10" t="s">
        <v>63</v>
      </c>
      <c r="D10" t="s">
        <v>55</v>
      </c>
      <c r="E10" t="s">
        <v>26</v>
      </c>
      <c r="F10" t="s">
        <v>19</v>
      </c>
      <c r="G10" t="s">
        <v>64</v>
      </c>
      <c r="H10" t="s">
        <v>395</v>
      </c>
      <c r="I10" t="str">
        <f>VLOOKUP(H10,REPORT!$B$1:$C$4,2,FALSE)</f>
        <v>Fashion</v>
      </c>
      <c r="J10" t="str">
        <f t="shared" si="1"/>
        <v>Mismatch</v>
      </c>
      <c r="K10" s="19">
        <v>10</v>
      </c>
      <c r="L10" s="22">
        <v>41.13</v>
      </c>
      <c r="M10" s="23">
        <v>0.15</v>
      </c>
      <c r="N10" s="25">
        <v>349.61</v>
      </c>
      <c r="O10" t="s">
        <v>65</v>
      </c>
      <c r="P10" t="s">
        <v>61</v>
      </c>
      <c r="Q10" s="16">
        <v>45982</v>
      </c>
      <c r="R10">
        <v>5</v>
      </c>
      <c r="S10" t="str">
        <f t="shared" si="0"/>
        <v>YES</v>
      </c>
    </row>
    <row r="11" spans="1:19" x14ac:dyDescent="0.25">
      <c r="A11" t="s">
        <v>66</v>
      </c>
      <c r="B11" s="16">
        <v>45986</v>
      </c>
      <c r="C11" t="s">
        <v>68</v>
      </c>
      <c r="D11" t="s">
        <v>33</v>
      </c>
      <c r="E11" t="s">
        <v>34</v>
      </c>
      <c r="F11" t="s">
        <v>27</v>
      </c>
      <c r="G11" t="s">
        <v>46</v>
      </c>
      <c r="H11" t="s">
        <v>392</v>
      </c>
      <c r="I11" t="str">
        <f>VLOOKUP(H11,REPORT!$B$1:$C$4,2,FALSE)</f>
        <v>Electronics</v>
      </c>
      <c r="J11" t="str">
        <f t="shared" si="1"/>
        <v>Mismatch</v>
      </c>
      <c r="K11" s="19">
        <v>5</v>
      </c>
      <c r="L11" s="22">
        <v>223.03</v>
      </c>
      <c r="M11" s="23">
        <v>0.15</v>
      </c>
      <c r="N11" s="25">
        <v>947.88</v>
      </c>
      <c r="O11" t="s">
        <v>21</v>
      </c>
      <c r="P11" t="s">
        <v>69</v>
      </c>
      <c r="Q11" s="16">
        <v>45992</v>
      </c>
      <c r="R11">
        <v>1</v>
      </c>
      <c r="S11" t="str">
        <f t="shared" si="0"/>
        <v>YES</v>
      </c>
    </row>
    <row r="12" spans="1:19" x14ac:dyDescent="0.25">
      <c r="A12" t="s">
        <v>70</v>
      </c>
      <c r="B12" s="16">
        <v>45985</v>
      </c>
      <c r="C12" t="s">
        <v>71</v>
      </c>
      <c r="D12" t="s">
        <v>72</v>
      </c>
      <c r="E12" t="s">
        <v>44</v>
      </c>
      <c r="F12" t="s">
        <v>19</v>
      </c>
      <c r="G12" t="s">
        <v>28</v>
      </c>
      <c r="H12" t="s">
        <v>393</v>
      </c>
      <c r="I12" t="str">
        <f>VLOOKUP(H12,REPORT!$B$1:$C$4,2,FALSE)</f>
        <v>Beauty</v>
      </c>
      <c r="J12" t="str">
        <f t="shared" si="1"/>
        <v>Mismatch</v>
      </c>
      <c r="K12" s="19">
        <v>4</v>
      </c>
      <c r="L12" s="22">
        <v>84.89</v>
      </c>
      <c r="M12" s="23">
        <v>0.05</v>
      </c>
      <c r="N12" s="25">
        <v>322.58</v>
      </c>
      <c r="O12" t="s">
        <v>57</v>
      </c>
      <c r="P12" t="s">
        <v>61</v>
      </c>
      <c r="Q12" s="16">
        <v>45994</v>
      </c>
      <c r="R12">
        <v>5</v>
      </c>
      <c r="S12" t="str">
        <f t="shared" si="0"/>
        <v>YES</v>
      </c>
    </row>
    <row r="13" spans="1:19" x14ac:dyDescent="0.25">
      <c r="A13" t="s">
        <v>73</v>
      </c>
      <c r="B13" s="16">
        <v>45721</v>
      </c>
      <c r="C13" t="s">
        <v>74</v>
      </c>
      <c r="D13" t="s">
        <v>55</v>
      </c>
      <c r="E13" t="s">
        <v>26</v>
      </c>
      <c r="F13" t="s">
        <v>60</v>
      </c>
      <c r="G13" t="s">
        <v>20</v>
      </c>
      <c r="H13" t="s">
        <v>392</v>
      </c>
      <c r="I13" t="str">
        <f>VLOOKUP(H13,REPORT!$B$1:$C$4,2,FALSE)</f>
        <v>Electronics</v>
      </c>
      <c r="J13" t="str">
        <f t="shared" si="1"/>
        <v>Mismatch</v>
      </c>
      <c r="K13" s="19">
        <v>10</v>
      </c>
      <c r="L13" s="22">
        <v>474.01</v>
      </c>
      <c r="M13" s="23">
        <v>0</v>
      </c>
      <c r="N13" s="25">
        <v>4740.1000000000004</v>
      </c>
      <c r="O13" t="s">
        <v>21</v>
      </c>
      <c r="P13" t="s">
        <v>61</v>
      </c>
      <c r="Q13" s="16">
        <v>45781</v>
      </c>
      <c r="R13">
        <v>4</v>
      </c>
      <c r="S13" t="str">
        <f t="shared" si="0"/>
        <v>YES</v>
      </c>
    </row>
    <row r="14" spans="1:19" x14ac:dyDescent="0.25">
      <c r="A14" t="s">
        <v>75</v>
      </c>
      <c r="B14" s="16">
        <v>45928</v>
      </c>
      <c r="C14" t="s">
        <v>76</v>
      </c>
      <c r="D14" t="s">
        <v>51</v>
      </c>
      <c r="E14" t="s">
        <v>52</v>
      </c>
      <c r="F14" t="s">
        <v>60</v>
      </c>
      <c r="G14" t="s">
        <v>28</v>
      </c>
      <c r="H14" t="s">
        <v>393</v>
      </c>
      <c r="I14" t="str">
        <f>VLOOKUP(H14,REPORT!$B$1:$C$4,2,FALSE)</f>
        <v>Beauty</v>
      </c>
      <c r="J14" t="str">
        <f t="shared" si="1"/>
        <v>Mismatch</v>
      </c>
      <c r="K14" s="19">
        <v>7</v>
      </c>
      <c r="L14" s="22">
        <v>482.54</v>
      </c>
      <c r="M14" s="23">
        <v>0.2</v>
      </c>
      <c r="N14" s="25">
        <v>2702.22</v>
      </c>
      <c r="O14" t="s">
        <v>47</v>
      </c>
      <c r="P14" t="s">
        <v>48</v>
      </c>
      <c r="Q14" s="16">
        <v>45942</v>
      </c>
      <c r="R14">
        <v>2</v>
      </c>
      <c r="S14" t="str">
        <f t="shared" si="0"/>
        <v>YES</v>
      </c>
    </row>
    <row r="15" spans="1:19" x14ac:dyDescent="0.25">
      <c r="A15" t="s">
        <v>77</v>
      </c>
      <c r="B15" s="16">
        <v>45719</v>
      </c>
      <c r="C15" t="s">
        <v>78</v>
      </c>
      <c r="D15" t="s">
        <v>33</v>
      </c>
      <c r="E15" t="s">
        <v>34</v>
      </c>
      <c r="F15" t="s">
        <v>19</v>
      </c>
      <c r="G15" t="s">
        <v>20</v>
      </c>
      <c r="H15" t="s">
        <v>392</v>
      </c>
      <c r="I15" t="str">
        <f>VLOOKUP(H15,REPORT!$B$1:$C$4,2,FALSE)</f>
        <v>Electronics</v>
      </c>
      <c r="J15" t="str">
        <f t="shared" si="1"/>
        <v>Match</v>
      </c>
      <c r="K15" s="19">
        <v>2</v>
      </c>
      <c r="L15" s="22">
        <v>175.66</v>
      </c>
      <c r="M15" s="23">
        <v>0.2</v>
      </c>
      <c r="N15" s="25">
        <v>281.06</v>
      </c>
      <c r="O15" t="s">
        <v>21</v>
      </c>
      <c r="P15" t="s">
        <v>61</v>
      </c>
      <c r="Q15" s="16">
        <v>45723</v>
      </c>
      <c r="R15">
        <v>5</v>
      </c>
      <c r="S15" t="str">
        <f t="shared" si="0"/>
        <v>YES</v>
      </c>
    </row>
    <row r="16" spans="1:19" x14ac:dyDescent="0.25">
      <c r="A16" t="s">
        <v>79</v>
      </c>
      <c r="B16" s="16">
        <v>45827</v>
      </c>
      <c r="C16" t="s">
        <v>80</v>
      </c>
      <c r="D16" t="s">
        <v>72</v>
      </c>
      <c r="E16" t="s">
        <v>18</v>
      </c>
      <c r="F16" t="s">
        <v>60</v>
      </c>
      <c r="G16" t="s">
        <v>28</v>
      </c>
      <c r="H16" t="s">
        <v>393</v>
      </c>
      <c r="I16" t="str">
        <f>VLOOKUP(H16,REPORT!$B$1:$C$4,2,FALSE)</f>
        <v>Beauty</v>
      </c>
      <c r="J16" t="str">
        <f t="shared" si="1"/>
        <v>Mismatch</v>
      </c>
      <c r="K16" s="19">
        <v>4</v>
      </c>
      <c r="L16" s="22">
        <v>146.44999999999999</v>
      </c>
      <c r="M16" s="23">
        <v>0.15</v>
      </c>
      <c r="N16" s="25">
        <v>497.93</v>
      </c>
      <c r="O16" t="s">
        <v>65</v>
      </c>
      <c r="P16" t="s">
        <v>81</v>
      </c>
      <c r="Q16" s="16">
        <v>45829</v>
      </c>
      <c r="R16">
        <v>2</v>
      </c>
      <c r="S16" t="str">
        <f t="shared" si="0"/>
        <v>YES</v>
      </c>
    </row>
    <row r="17" spans="1:19" x14ac:dyDescent="0.25">
      <c r="A17" t="s">
        <v>82</v>
      </c>
      <c r="B17" s="16">
        <v>45873</v>
      </c>
      <c r="C17" t="s">
        <v>83</v>
      </c>
      <c r="D17" t="s">
        <v>72</v>
      </c>
      <c r="E17" t="s">
        <v>18</v>
      </c>
      <c r="F17" t="s">
        <v>60</v>
      </c>
      <c r="G17" t="s">
        <v>46</v>
      </c>
      <c r="H17" t="s">
        <v>392</v>
      </c>
      <c r="I17" t="str">
        <f>VLOOKUP(H17,REPORT!$B$1:$C$4,2,FALSE)</f>
        <v>Electronics</v>
      </c>
      <c r="J17" t="str">
        <f t="shared" si="1"/>
        <v>Mismatch</v>
      </c>
      <c r="K17" s="19">
        <v>7</v>
      </c>
      <c r="L17" s="22">
        <v>183.61</v>
      </c>
      <c r="M17" s="23">
        <v>0.15</v>
      </c>
      <c r="N17" s="25">
        <v>1092.48</v>
      </c>
      <c r="O17" t="s">
        <v>47</v>
      </c>
      <c r="P17" t="s">
        <v>61</v>
      </c>
      <c r="Q17" s="16">
        <v>45757</v>
      </c>
      <c r="R17">
        <v>4</v>
      </c>
      <c r="S17" t="str">
        <f t="shared" si="0"/>
        <v>NO</v>
      </c>
    </row>
    <row r="18" spans="1:19" x14ac:dyDescent="0.25">
      <c r="A18" t="s">
        <v>84</v>
      </c>
      <c r="B18" s="16">
        <v>45713</v>
      </c>
      <c r="C18" t="s">
        <v>85</v>
      </c>
      <c r="D18" t="s">
        <v>72</v>
      </c>
      <c r="E18" t="s">
        <v>44</v>
      </c>
      <c r="F18" t="s">
        <v>86</v>
      </c>
      <c r="G18" t="s">
        <v>20</v>
      </c>
      <c r="H18" t="s">
        <v>392</v>
      </c>
      <c r="I18" t="str">
        <f>VLOOKUP(H18,REPORT!$B$1:$C$4,2,FALSE)</f>
        <v>Electronics</v>
      </c>
      <c r="J18" t="str">
        <f t="shared" si="1"/>
        <v>Mismatch</v>
      </c>
      <c r="K18" s="19">
        <v>4</v>
      </c>
      <c r="L18" s="22">
        <v>272.77999999999997</v>
      </c>
      <c r="M18" s="23">
        <v>0.05</v>
      </c>
      <c r="N18" s="25">
        <v>1036.56</v>
      </c>
      <c r="O18" t="s">
        <v>21</v>
      </c>
      <c r="P18" t="s">
        <v>61</v>
      </c>
      <c r="Q18" s="16">
        <v>45717</v>
      </c>
      <c r="R18">
        <v>4</v>
      </c>
      <c r="S18" t="str">
        <f t="shared" si="0"/>
        <v>YES</v>
      </c>
    </row>
    <row r="19" spans="1:19" x14ac:dyDescent="0.25">
      <c r="A19" t="s">
        <v>87</v>
      </c>
      <c r="B19" s="16">
        <v>45683</v>
      </c>
      <c r="C19" t="s">
        <v>88</v>
      </c>
      <c r="D19" t="s">
        <v>55</v>
      </c>
      <c r="E19" t="s">
        <v>26</v>
      </c>
      <c r="F19" t="s">
        <v>86</v>
      </c>
      <c r="G19" t="s">
        <v>28</v>
      </c>
      <c r="H19" t="s">
        <v>393</v>
      </c>
      <c r="I19" t="str">
        <f>VLOOKUP(H19,REPORT!$B$1:$C$4,2,FALSE)</f>
        <v>Beauty</v>
      </c>
      <c r="J19" t="str">
        <f t="shared" si="1"/>
        <v>Mismatch</v>
      </c>
      <c r="K19" s="19">
        <v>-2</v>
      </c>
      <c r="L19" s="22">
        <v>484.81</v>
      </c>
      <c r="M19" s="23">
        <v>0.05</v>
      </c>
      <c r="N19" s="25">
        <v>-921.14</v>
      </c>
      <c r="O19" t="s">
        <v>21</v>
      </c>
      <c r="P19" t="s">
        <v>81</v>
      </c>
      <c r="Q19" s="16">
        <v>45694</v>
      </c>
      <c r="R19">
        <v>2</v>
      </c>
      <c r="S19" t="str">
        <f t="shared" si="0"/>
        <v>YES</v>
      </c>
    </row>
    <row r="20" spans="1:19" x14ac:dyDescent="0.25">
      <c r="A20" t="s">
        <v>89</v>
      </c>
      <c r="B20" s="16">
        <v>45857</v>
      </c>
      <c r="C20" t="s">
        <v>90</v>
      </c>
      <c r="D20" t="s">
        <v>72</v>
      </c>
      <c r="E20" t="s">
        <v>91</v>
      </c>
      <c r="F20" t="s">
        <v>19</v>
      </c>
      <c r="G20" t="s">
        <v>64</v>
      </c>
      <c r="H20" t="s">
        <v>395</v>
      </c>
      <c r="I20" t="str">
        <f>VLOOKUP(H20,REPORT!$B$1:$C$4,2,FALSE)</f>
        <v>Fashion</v>
      </c>
      <c r="J20" t="str">
        <f t="shared" si="1"/>
        <v>Mismatch</v>
      </c>
      <c r="K20" s="19">
        <v>5</v>
      </c>
      <c r="L20" s="22">
        <v>217.27</v>
      </c>
      <c r="M20" s="23">
        <v>0.2</v>
      </c>
      <c r="N20" s="25">
        <v>869.08</v>
      </c>
      <c r="O20" t="s">
        <v>21</v>
      </c>
      <c r="P20" t="s">
        <v>61</v>
      </c>
      <c r="Q20" s="16">
        <v>45862</v>
      </c>
      <c r="R20">
        <v>4</v>
      </c>
      <c r="S20" t="str">
        <f t="shared" si="0"/>
        <v>YES</v>
      </c>
    </row>
    <row r="21" spans="1:19" x14ac:dyDescent="0.25">
      <c r="A21" t="s">
        <v>92</v>
      </c>
      <c r="B21" s="16">
        <v>45818</v>
      </c>
      <c r="C21" t="s">
        <v>93</v>
      </c>
      <c r="D21" t="s">
        <v>33</v>
      </c>
      <c r="E21" t="s">
        <v>34</v>
      </c>
      <c r="F21" t="s">
        <v>19</v>
      </c>
      <c r="G21" t="s">
        <v>46</v>
      </c>
      <c r="H21" t="s">
        <v>392</v>
      </c>
      <c r="I21" t="str">
        <f>VLOOKUP(H21,REPORT!$B$1:$C$4,2,FALSE)</f>
        <v>Electronics</v>
      </c>
      <c r="J21" t="str">
        <f t="shared" si="1"/>
        <v>Match</v>
      </c>
      <c r="K21" s="19">
        <v>10</v>
      </c>
      <c r="L21" s="22">
        <v>243.63</v>
      </c>
      <c r="M21" s="23">
        <v>0.2</v>
      </c>
      <c r="N21" s="25">
        <v>1949.04</v>
      </c>
      <c r="O21" t="s">
        <v>21</v>
      </c>
      <c r="P21" t="s">
        <v>61</v>
      </c>
      <c r="Q21" s="16">
        <v>45819</v>
      </c>
      <c r="S21" t="str">
        <f t="shared" si="0"/>
        <v>YES</v>
      </c>
    </row>
    <row r="22" spans="1:19" x14ac:dyDescent="0.25">
      <c r="A22" t="s">
        <v>94</v>
      </c>
      <c r="B22" s="16">
        <v>45864</v>
      </c>
      <c r="C22" t="s">
        <v>95</v>
      </c>
      <c r="D22" t="s">
        <v>51</v>
      </c>
      <c r="E22" t="s">
        <v>52</v>
      </c>
      <c r="F22" t="s">
        <v>60</v>
      </c>
      <c r="G22" t="s">
        <v>28</v>
      </c>
      <c r="H22" t="s">
        <v>393</v>
      </c>
      <c r="I22" t="str">
        <f>VLOOKUP(H22,REPORT!$B$1:$C$4,2,FALSE)</f>
        <v>Beauty</v>
      </c>
      <c r="J22" t="str">
        <f t="shared" si="1"/>
        <v>Mismatch</v>
      </c>
      <c r="K22" s="19">
        <v>4</v>
      </c>
      <c r="L22" s="22">
        <v>293.67</v>
      </c>
      <c r="M22" s="23">
        <v>0</v>
      </c>
      <c r="N22" s="25">
        <v>1174.68</v>
      </c>
      <c r="O22" t="s">
        <v>65</v>
      </c>
      <c r="P22" t="s">
        <v>69</v>
      </c>
      <c r="Q22" s="16">
        <v>45866</v>
      </c>
      <c r="R22">
        <v>5</v>
      </c>
      <c r="S22" t="str">
        <f t="shared" si="0"/>
        <v>YES</v>
      </c>
    </row>
    <row r="23" spans="1:19" x14ac:dyDescent="0.25">
      <c r="A23" t="s">
        <v>97</v>
      </c>
      <c r="B23" s="16">
        <v>45912</v>
      </c>
      <c r="C23" t="s">
        <v>32</v>
      </c>
      <c r="D23" t="s">
        <v>55</v>
      </c>
      <c r="E23" t="s">
        <v>26</v>
      </c>
      <c r="F23" t="s">
        <v>27</v>
      </c>
      <c r="G23" t="s">
        <v>36</v>
      </c>
      <c r="H23" t="s">
        <v>394</v>
      </c>
      <c r="I23" t="str">
        <f>VLOOKUP(H23,REPORT!$B$1:$C$4,2,FALSE)</f>
        <v>Home &amp; Kitchen</v>
      </c>
      <c r="J23" t="str">
        <f t="shared" si="1"/>
        <v>Mismatch</v>
      </c>
      <c r="K23" s="19">
        <v>4</v>
      </c>
      <c r="L23" s="22">
        <v>140.15</v>
      </c>
      <c r="M23" s="23">
        <v>1.5</v>
      </c>
      <c r="N23" s="25">
        <v>-280.3</v>
      </c>
      <c r="O23" t="s">
        <v>21</v>
      </c>
      <c r="P23" t="s">
        <v>61</v>
      </c>
      <c r="Q23" s="16">
        <v>46012</v>
      </c>
      <c r="R23">
        <v>3</v>
      </c>
      <c r="S23" t="str">
        <f t="shared" si="0"/>
        <v>YES</v>
      </c>
    </row>
    <row r="24" spans="1:19" x14ac:dyDescent="0.25">
      <c r="A24" t="s">
        <v>98</v>
      </c>
      <c r="B24" s="16">
        <v>45840</v>
      </c>
      <c r="C24" t="s">
        <v>385</v>
      </c>
      <c r="D24" t="s">
        <v>72</v>
      </c>
      <c r="E24" t="s">
        <v>44</v>
      </c>
      <c r="F24" t="s">
        <v>19</v>
      </c>
      <c r="G24" t="s">
        <v>20</v>
      </c>
      <c r="H24" t="s">
        <v>392</v>
      </c>
      <c r="I24" t="str">
        <f>VLOOKUP(H24,REPORT!$B$1:$C$4,2,FALSE)</f>
        <v>Electronics</v>
      </c>
      <c r="J24" t="str">
        <f t="shared" si="1"/>
        <v>Match</v>
      </c>
      <c r="K24" s="19">
        <v>9</v>
      </c>
      <c r="L24" s="22">
        <v>139.94999999999999</v>
      </c>
      <c r="M24" s="23">
        <v>0.1</v>
      </c>
      <c r="N24" s="25">
        <v>1133.5999999999999</v>
      </c>
      <c r="O24" t="s">
        <v>21</v>
      </c>
      <c r="P24" t="s">
        <v>81</v>
      </c>
      <c r="Q24" s="16">
        <v>45704</v>
      </c>
      <c r="R24">
        <v>1</v>
      </c>
      <c r="S24" t="str">
        <f t="shared" si="0"/>
        <v>NO</v>
      </c>
    </row>
    <row r="25" spans="1:19" x14ac:dyDescent="0.25">
      <c r="A25" t="s">
        <v>101</v>
      </c>
      <c r="B25" s="16">
        <v>45669</v>
      </c>
      <c r="C25" t="s">
        <v>102</v>
      </c>
      <c r="D25" t="s">
        <v>33</v>
      </c>
      <c r="E25" t="s">
        <v>34</v>
      </c>
      <c r="F25" t="s">
        <v>19</v>
      </c>
      <c r="G25" t="s">
        <v>46</v>
      </c>
      <c r="H25" t="s">
        <v>392</v>
      </c>
      <c r="I25" t="str">
        <f>VLOOKUP(H25,REPORT!$B$1:$C$4,2,FALSE)</f>
        <v>Electronics</v>
      </c>
      <c r="J25" t="str">
        <f t="shared" si="1"/>
        <v>Match</v>
      </c>
      <c r="K25" s="19">
        <v>9</v>
      </c>
      <c r="L25" s="22">
        <v>156.69999999999999</v>
      </c>
      <c r="M25" s="23">
        <v>0</v>
      </c>
      <c r="N25" s="25">
        <v>1410.3</v>
      </c>
      <c r="O25" t="s">
        <v>47</v>
      </c>
      <c r="P25" t="s">
        <v>69</v>
      </c>
      <c r="Q25" s="16">
        <v>46001</v>
      </c>
      <c r="R25">
        <v>8</v>
      </c>
      <c r="S25" t="str">
        <f t="shared" si="0"/>
        <v>YES</v>
      </c>
    </row>
    <row r="26" spans="1:19" x14ac:dyDescent="0.25">
      <c r="A26" t="s">
        <v>103</v>
      </c>
      <c r="B26" s="16">
        <v>45765</v>
      </c>
      <c r="C26" t="s">
        <v>104</v>
      </c>
      <c r="D26" t="s">
        <v>55</v>
      </c>
      <c r="E26" t="s">
        <v>26</v>
      </c>
      <c r="F26" t="s">
        <v>27</v>
      </c>
      <c r="G26" t="s">
        <v>36</v>
      </c>
      <c r="H26" t="s">
        <v>394</v>
      </c>
      <c r="I26" t="str">
        <f>VLOOKUP(H26,REPORT!$B$1:$C$4,2,FALSE)</f>
        <v>Home &amp; Kitchen</v>
      </c>
      <c r="J26" t="str">
        <f t="shared" si="1"/>
        <v>Mismatch</v>
      </c>
      <c r="K26" s="19">
        <v>4</v>
      </c>
      <c r="L26" s="22">
        <v>346.87</v>
      </c>
      <c r="M26" s="23">
        <v>0.1</v>
      </c>
      <c r="N26" s="25">
        <v>1248.73</v>
      </c>
      <c r="O26" t="s">
        <v>21</v>
      </c>
      <c r="P26" t="s">
        <v>61</v>
      </c>
      <c r="Q26" s="16">
        <v>45762</v>
      </c>
      <c r="R26">
        <v>5</v>
      </c>
      <c r="S26" t="str">
        <f t="shared" si="0"/>
        <v>NO</v>
      </c>
    </row>
    <row r="27" spans="1:19" x14ac:dyDescent="0.25">
      <c r="A27" t="s">
        <v>105</v>
      </c>
      <c r="B27" s="16">
        <v>45658</v>
      </c>
      <c r="C27" t="s">
        <v>106</v>
      </c>
      <c r="D27" t="s">
        <v>55</v>
      </c>
      <c r="E27" t="s">
        <v>26</v>
      </c>
      <c r="F27" t="s">
        <v>19</v>
      </c>
      <c r="G27" t="s">
        <v>20</v>
      </c>
      <c r="H27" t="s">
        <v>392</v>
      </c>
      <c r="I27" t="str">
        <f>VLOOKUP(H27,REPORT!$B$1:$C$4,2,FALSE)</f>
        <v>Electronics</v>
      </c>
      <c r="J27" t="str">
        <f t="shared" si="1"/>
        <v>Match</v>
      </c>
      <c r="K27" s="19">
        <v>0</v>
      </c>
      <c r="L27" s="22">
        <v>89.18</v>
      </c>
      <c r="M27" s="23">
        <v>0.15</v>
      </c>
      <c r="N27" s="25">
        <v>0</v>
      </c>
      <c r="O27" t="s">
        <v>21</v>
      </c>
      <c r="P27" t="s">
        <v>61</v>
      </c>
      <c r="Q27" s="16">
        <v>45665</v>
      </c>
      <c r="R27">
        <v>5</v>
      </c>
      <c r="S27" t="str">
        <f t="shared" si="0"/>
        <v>YES</v>
      </c>
    </row>
    <row r="28" spans="1:19" x14ac:dyDescent="0.25">
      <c r="A28" t="s">
        <v>107</v>
      </c>
      <c r="B28" s="16">
        <v>45956</v>
      </c>
      <c r="C28" t="s">
        <v>108</v>
      </c>
      <c r="D28" t="s">
        <v>72</v>
      </c>
      <c r="E28" t="s">
        <v>44</v>
      </c>
      <c r="F28" t="s">
        <v>19</v>
      </c>
      <c r="G28" t="s">
        <v>20</v>
      </c>
      <c r="H28" t="s">
        <v>392</v>
      </c>
      <c r="I28" t="str">
        <f>VLOOKUP(H28,REPORT!$B$1:$C$4,2,FALSE)</f>
        <v>Electronics</v>
      </c>
      <c r="J28" t="str">
        <f t="shared" si="1"/>
        <v>Match</v>
      </c>
      <c r="K28" s="19">
        <v>7</v>
      </c>
      <c r="L28" s="22">
        <v>72.45</v>
      </c>
      <c r="M28" s="23">
        <v>0.1</v>
      </c>
      <c r="N28" s="25">
        <v>456.44</v>
      </c>
      <c r="O28" t="s">
        <v>47</v>
      </c>
      <c r="P28" t="s">
        <v>61</v>
      </c>
      <c r="R28">
        <v>3</v>
      </c>
      <c r="S28" t="str">
        <f t="shared" si="0"/>
        <v>NO</v>
      </c>
    </row>
    <row r="29" spans="1:19" x14ac:dyDescent="0.25">
      <c r="A29" t="s">
        <v>109</v>
      </c>
      <c r="B29" s="16">
        <v>45975</v>
      </c>
      <c r="C29" t="s">
        <v>386</v>
      </c>
      <c r="D29" t="s">
        <v>72</v>
      </c>
      <c r="E29" t="s">
        <v>91</v>
      </c>
      <c r="F29" t="s">
        <v>60</v>
      </c>
      <c r="G29" t="s">
        <v>20</v>
      </c>
      <c r="H29" t="s">
        <v>392</v>
      </c>
      <c r="I29" t="str">
        <f>VLOOKUP(H29,REPORT!$B$1:$C$4,2,FALSE)</f>
        <v>Electronics</v>
      </c>
      <c r="J29" t="str">
        <f t="shared" si="1"/>
        <v>Mismatch</v>
      </c>
      <c r="K29" s="19">
        <v>4</v>
      </c>
      <c r="L29" s="22">
        <v>433.66</v>
      </c>
      <c r="M29" s="23">
        <v>0.05</v>
      </c>
      <c r="N29" s="25">
        <v>1647.91</v>
      </c>
      <c r="O29" t="s">
        <v>21</v>
      </c>
      <c r="P29" t="s">
        <v>81</v>
      </c>
      <c r="Q29" s="16">
        <v>45987</v>
      </c>
      <c r="R29">
        <v>4</v>
      </c>
      <c r="S29" t="str">
        <f t="shared" si="0"/>
        <v>YES</v>
      </c>
    </row>
    <row r="30" spans="1:19" x14ac:dyDescent="0.25">
      <c r="A30" t="s">
        <v>49</v>
      </c>
      <c r="B30" s="16">
        <v>45667</v>
      </c>
      <c r="C30" t="s">
        <v>50</v>
      </c>
      <c r="D30" t="s">
        <v>39</v>
      </c>
      <c r="E30" t="s">
        <v>40</v>
      </c>
      <c r="F30" t="s">
        <v>19</v>
      </c>
      <c r="G30" t="s">
        <v>20</v>
      </c>
      <c r="H30" t="s">
        <v>392</v>
      </c>
      <c r="I30" t="str">
        <f>VLOOKUP(H30,REPORT!$B$1:$C$4,2,FALSE)</f>
        <v>Electronics</v>
      </c>
      <c r="J30" t="str">
        <f t="shared" si="1"/>
        <v>Match</v>
      </c>
      <c r="K30" s="19">
        <v>3</v>
      </c>
      <c r="L30" s="22">
        <v>236.51</v>
      </c>
      <c r="M30" s="23">
        <v>0.1</v>
      </c>
      <c r="N30" s="25">
        <v>638.58000000000004</v>
      </c>
      <c r="O30" t="s">
        <v>21</v>
      </c>
      <c r="P30" t="s">
        <v>61</v>
      </c>
      <c r="Q30" s="16">
        <v>45943</v>
      </c>
      <c r="R30">
        <v>5</v>
      </c>
      <c r="S30" t="str">
        <f t="shared" si="0"/>
        <v>YES</v>
      </c>
    </row>
    <row r="31" spans="1:19" x14ac:dyDescent="0.25">
      <c r="A31" t="s">
        <v>111</v>
      </c>
      <c r="B31" s="16">
        <v>45853</v>
      </c>
      <c r="C31" t="s">
        <v>297</v>
      </c>
      <c r="D31" t="s">
        <v>33</v>
      </c>
      <c r="E31" t="s">
        <v>34</v>
      </c>
      <c r="F31" t="s">
        <v>27</v>
      </c>
      <c r="G31" t="s">
        <v>46</v>
      </c>
      <c r="H31" t="s">
        <v>392</v>
      </c>
      <c r="I31" t="str">
        <f>VLOOKUP(H31,REPORT!$B$1:$C$4,2,FALSE)</f>
        <v>Electronics</v>
      </c>
      <c r="J31" t="str">
        <f t="shared" si="1"/>
        <v>Mismatch</v>
      </c>
      <c r="K31" s="19">
        <v>8</v>
      </c>
      <c r="L31" s="22">
        <v>118.99</v>
      </c>
      <c r="M31" s="23">
        <v>0.15</v>
      </c>
      <c r="N31" s="25">
        <v>809.13</v>
      </c>
      <c r="O31" t="s">
        <v>21</v>
      </c>
      <c r="P31" t="s">
        <v>61</v>
      </c>
      <c r="Q31" s="16">
        <v>45867</v>
      </c>
      <c r="R31">
        <v>3</v>
      </c>
      <c r="S31" t="str">
        <f t="shared" si="0"/>
        <v>YES</v>
      </c>
    </row>
    <row r="32" spans="1:19" x14ac:dyDescent="0.25">
      <c r="A32" t="s">
        <v>113</v>
      </c>
      <c r="B32" s="16">
        <v>45826</v>
      </c>
      <c r="C32" t="s">
        <v>115</v>
      </c>
      <c r="D32" t="s">
        <v>39</v>
      </c>
      <c r="E32" t="s">
        <v>40</v>
      </c>
      <c r="F32" t="s">
        <v>19</v>
      </c>
      <c r="G32" t="s">
        <v>46</v>
      </c>
      <c r="H32" t="s">
        <v>392</v>
      </c>
      <c r="I32" t="str">
        <f>VLOOKUP(H32,REPORT!$B$1:$C$4,2,FALSE)</f>
        <v>Electronics</v>
      </c>
      <c r="J32" t="str">
        <f t="shared" si="1"/>
        <v>Match</v>
      </c>
      <c r="K32" s="19">
        <v>5</v>
      </c>
      <c r="L32" s="22">
        <v>182.06</v>
      </c>
      <c r="M32" s="23">
        <v>0.2</v>
      </c>
      <c r="N32" s="25">
        <v>728.24</v>
      </c>
      <c r="O32" t="s">
        <v>21</v>
      </c>
      <c r="P32" t="s">
        <v>61</v>
      </c>
      <c r="Q32" s="16">
        <v>45831</v>
      </c>
      <c r="R32">
        <v>4</v>
      </c>
      <c r="S32" t="str">
        <f t="shared" si="0"/>
        <v>YES</v>
      </c>
    </row>
    <row r="33" spans="1:19" x14ac:dyDescent="0.25">
      <c r="A33" t="s">
        <v>116</v>
      </c>
      <c r="B33" s="16">
        <v>45699</v>
      </c>
      <c r="C33" t="s">
        <v>117</v>
      </c>
      <c r="D33" t="s">
        <v>33</v>
      </c>
      <c r="E33" t="s">
        <v>34</v>
      </c>
      <c r="F33" t="s">
        <v>19</v>
      </c>
      <c r="G33" t="s">
        <v>36</v>
      </c>
      <c r="H33" t="s">
        <v>394</v>
      </c>
      <c r="I33" t="str">
        <f>VLOOKUP(H33,REPORT!$B$1:$C$4,2,FALSE)</f>
        <v>Home &amp; Kitchen</v>
      </c>
      <c r="J33" t="str">
        <f t="shared" si="1"/>
        <v>Mismatch</v>
      </c>
      <c r="K33" s="19">
        <v>6</v>
      </c>
      <c r="L33" s="22">
        <v>223.83</v>
      </c>
      <c r="M33" s="23">
        <v>0.2</v>
      </c>
      <c r="N33" s="25">
        <v>1074.3800000000001</v>
      </c>
      <c r="O33" t="s">
        <v>21</v>
      </c>
      <c r="P33" t="s">
        <v>61</v>
      </c>
      <c r="Q33" s="16">
        <v>45970</v>
      </c>
      <c r="R33">
        <v>1</v>
      </c>
      <c r="S33" t="str">
        <f t="shared" si="0"/>
        <v>YES</v>
      </c>
    </row>
    <row r="34" spans="1:19" x14ac:dyDescent="0.25">
      <c r="A34" t="s">
        <v>118</v>
      </c>
      <c r="B34" s="16">
        <v>46009</v>
      </c>
      <c r="C34" t="s">
        <v>119</v>
      </c>
      <c r="D34" t="s">
        <v>39</v>
      </c>
      <c r="E34" t="s">
        <v>40</v>
      </c>
      <c r="F34" t="s">
        <v>27</v>
      </c>
      <c r="G34" t="s">
        <v>20</v>
      </c>
      <c r="H34" t="s">
        <v>392</v>
      </c>
      <c r="I34" t="str">
        <f>VLOOKUP(H34,REPORT!$B$1:$C$4,2,FALSE)</f>
        <v>Electronics</v>
      </c>
      <c r="J34" t="str">
        <f t="shared" si="1"/>
        <v>Mismatch</v>
      </c>
      <c r="K34" s="19">
        <v>6</v>
      </c>
      <c r="L34" s="22">
        <v>221.34</v>
      </c>
      <c r="M34" s="23">
        <v>0.1</v>
      </c>
      <c r="N34" s="25">
        <v>1195.24</v>
      </c>
      <c r="O34" t="s">
        <v>21</v>
      </c>
      <c r="P34" t="s">
        <v>30</v>
      </c>
      <c r="Q34" s="16">
        <v>46021</v>
      </c>
      <c r="R34">
        <v>5</v>
      </c>
      <c r="S34" t="str">
        <f t="shared" ref="S34:S65" si="2">IF(B34&lt;=Q34,"YES","NO")</f>
        <v>YES</v>
      </c>
    </row>
    <row r="35" spans="1:19" x14ac:dyDescent="0.25">
      <c r="A35" t="s">
        <v>120</v>
      </c>
      <c r="B35" s="16">
        <v>45658</v>
      </c>
      <c r="C35" t="s">
        <v>121</v>
      </c>
      <c r="D35" t="s">
        <v>55</v>
      </c>
      <c r="E35" t="s">
        <v>26</v>
      </c>
      <c r="F35" t="s">
        <v>60</v>
      </c>
      <c r="G35" t="s">
        <v>64</v>
      </c>
      <c r="H35" t="s">
        <v>395</v>
      </c>
      <c r="I35" t="str">
        <f>VLOOKUP(H35,REPORT!$B$1:$C$4,2,FALSE)</f>
        <v>Fashion</v>
      </c>
      <c r="J35" t="str">
        <f t="shared" si="1"/>
        <v>Match</v>
      </c>
      <c r="K35" s="19">
        <v>5</v>
      </c>
      <c r="L35" s="22">
        <v>281.66000000000003</v>
      </c>
      <c r="M35" s="23">
        <v>0.05</v>
      </c>
      <c r="N35" s="25">
        <v>1337.89</v>
      </c>
      <c r="O35" t="s">
        <v>21</v>
      </c>
      <c r="P35" t="s">
        <v>69</v>
      </c>
      <c r="Q35" s="16">
        <v>45873</v>
      </c>
      <c r="R35">
        <v>4</v>
      </c>
      <c r="S35" t="str">
        <f t="shared" si="2"/>
        <v>YES</v>
      </c>
    </row>
    <row r="36" spans="1:19" x14ac:dyDescent="0.25">
      <c r="A36" t="s">
        <v>122</v>
      </c>
      <c r="B36" s="16">
        <v>45658</v>
      </c>
      <c r="C36" t="s">
        <v>123</v>
      </c>
      <c r="D36" t="s">
        <v>51</v>
      </c>
      <c r="E36" t="s">
        <v>52</v>
      </c>
      <c r="F36" t="s">
        <v>86</v>
      </c>
      <c r="G36" t="s">
        <v>36</v>
      </c>
      <c r="H36" t="s">
        <v>394</v>
      </c>
      <c r="I36" t="str">
        <f>VLOOKUP(H36,REPORT!$B$1:$C$4,2,FALSE)</f>
        <v>Home &amp; Kitchen</v>
      </c>
      <c r="J36" t="str">
        <f t="shared" si="1"/>
        <v>Match</v>
      </c>
      <c r="K36" s="19">
        <v>4</v>
      </c>
      <c r="L36" s="22">
        <v>220.65</v>
      </c>
      <c r="M36" s="23">
        <v>0.2</v>
      </c>
      <c r="N36" s="25">
        <v>706.08</v>
      </c>
      <c r="O36" t="s">
        <v>57</v>
      </c>
      <c r="P36" t="s">
        <v>30</v>
      </c>
      <c r="Q36" s="16">
        <v>45663</v>
      </c>
      <c r="R36">
        <v>5</v>
      </c>
      <c r="S36" t="str">
        <f t="shared" si="2"/>
        <v>YES</v>
      </c>
    </row>
    <row r="37" spans="1:19" x14ac:dyDescent="0.25">
      <c r="A37" t="s">
        <v>124</v>
      </c>
      <c r="B37" s="16">
        <v>45759</v>
      </c>
      <c r="C37" t="s">
        <v>125</v>
      </c>
      <c r="D37" t="s">
        <v>72</v>
      </c>
      <c r="E37" t="s">
        <v>18</v>
      </c>
      <c r="F37" t="s">
        <v>27</v>
      </c>
      <c r="G37" t="s">
        <v>36</v>
      </c>
      <c r="H37" t="s">
        <v>394</v>
      </c>
      <c r="I37" t="str">
        <f>VLOOKUP(H37,REPORT!$B$1:$C$4,2,FALSE)</f>
        <v>Home &amp; Kitchen</v>
      </c>
      <c r="J37" t="str">
        <f t="shared" si="1"/>
        <v>Mismatch</v>
      </c>
      <c r="K37" s="19">
        <v>9</v>
      </c>
      <c r="L37" s="22">
        <v>335.29</v>
      </c>
      <c r="M37" s="23">
        <v>0.2</v>
      </c>
      <c r="N37" s="25">
        <v>2414.09</v>
      </c>
      <c r="O37" t="s">
        <v>21</v>
      </c>
      <c r="P37" t="s">
        <v>30</v>
      </c>
      <c r="Q37" s="16">
        <v>45997</v>
      </c>
      <c r="R37">
        <v>3</v>
      </c>
      <c r="S37" t="str">
        <f t="shared" si="2"/>
        <v>YES</v>
      </c>
    </row>
    <row r="38" spans="1:19" x14ac:dyDescent="0.25">
      <c r="A38" t="s">
        <v>126</v>
      </c>
      <c r="B38" s="16">
        <v>45670</v>
      </c>
      <c r="C38" t="s">
        <v>127</v>
      </c>
      <c r="D38" t="s">
        <v>55</v>
      </c>
      <c r="E38" t="s">
        <v>26</v>
      </c>
      <c r="F38" t="s">
        <v>60</v>
      </c>
      <c r="G38" t="s">
        <v>20</v>
      </c>
      <c r="H38" t="s">
        <v>392</v>
      </c>
      <c r="I38" t="str">
        <f>VLOOKUP(H38,REPORT!$B$1:$C$4,2,FALSE)</f>
        <v>Electronics</v>
      </c>
      <c r="J38" t="str">
        <f t="shared" si="1"/>
        <v>Mismatch</v>
      </c>
      <c r="K38" s="19">
        <v>-2</v>
      </c>
      <c r="L38" s="22">
        <v>309.52</v>
      </c>
      <c r="M38" s="23">
        <v>0</v>
      </c>
      <c r="N38" s="25">
        <v>-619.04</v>
      </c>
      <c r="O38" t="s">
        <v>21</v>
      </c>
      <c r="P38" t="s">
        <v>30</v>
      </c>
      <c r="Q38" s="16">
        <v>45671</v>
      </c>
      <c r="R38">
        <v>4</v>
      </c>
      <c r="S38" t="str">
        <f t="shared" si="2"/>
        <v>YES</v>
      </c>
    </row>
    <row r="39" spans="1:19" x14ac:dyDescent="0.25">
      <c r="A39" t="s">
        <v>128</v>
      </c>
      <c r="B39" s="16">
        <v>45733</v>
      </c>
      <c r="C39" t="s">
        <v>129</v>
      </c>
      <c r="D39" t="s">
        <v>55</v>
      </c>
      <c r="E39" t="s">
        <v>26</v>
      </c>
      <c r="F39" t="s">
        <v>60</v>
      </c>
      <c r="G39" t="s">
        <v>46</v>
      </c>
      <c r="H39" t="s">
        <v>392</v>
      </c>
      <c r="I39" t="str">
        <f>VLOOKUP(H39,REPORT!$B$1:$C$4,2,FALSE)</f>
        <v>Electronics</v>
      </c>
      <c r="J39" t="str">
        <f t="shared" si="1"/>
        <v>Mismatch</v>
      </c>
      <c r="K39" s="19">
        <v>2</v>
      </c>
      <c r="L39" s="22">
        <v>391.43</v>
      </c>
      <c r="M39" s="23">
        <v>0.05</v>
      </c>
      <c r="N39" s="25">
        <v>743.72</v>
      </c>
      <c r="O39" t="s">
        <v>21</v>
      </c>
      <c r="P39" t="s">
        <v>61</v>
      </c>
      <c r="Q39" s="16">
        <v>45744</v>
      </c>
      <c r="R39">
        <v>2</v>
      </c>
      <c r="S39" t="str">
        <f t="shared" si="2"/>
        <v>YES</v>
      </c>
    </row>
    <row r="40" spans="1:19" x14ac:dyDescent="0.25">
      <c r="A40" t="s">
        <v>130</v>
      </c>
      <c r="B40" s="16">
        <v>45929</v>
      </c>
      <c r="C40" t="s">
        <v>131</v>
      </c>
      <c r="D40" t="s">
        <v>55</v>
      </c>
      <c r="E40" t="s">
        <v>26</v>
      </c>
      <c r="F40" t="s">
        <v>60</v>
      </c>
      <c r="G40" t="s">
        <v>28</v>
      </c>
      <c r="H40" t="s">
        <v>393</v>
      </c>
      <c r="I40" t="str">
        <f>VLOOKUP(H40,REPORT!$B$1:$C$4,2,FALSE)</f>
        <v>Beauty</v>
      </c>
      <c r="J40" t="str">
        <f t="shared" si="1"/>
        <v>Mismatch</v>
      </c>
      <c r="K40" s="19">
        <v>6</v>
      </c>
      <c r="L40" s="22">
        <v>475.52</v>
      </c>
      <c r="M40" s="23">
        <v>0.15</v>
      </c>
      <c r="N40" s="25">
        <v>2425.15</v>
      </c>
      <c r="O40" t="s">
        <v>57</v>
      </c>
      <c r="P40" t="s">
        <v>61</v>
      </c>
      <c r="Q40" s="16">
        <v>45938</v>
      </c>
      <c r="R40">
        <v>5</v>
      </c>
      <c r="S40" t="str">
        <f t="shared" si="2"/>
        <v>YES</v>
      </c>
    </row>
    <row r="41" spans="1:19" x14ac:dyDescent="0.25">
      <c r="A41" t="s">
        <v>132</v>
      </c>
      <c r="B41" s="16">
        <v>45984</v>
      </c>
      <c r="C41" t="s">
        <v>133</v>
      </c>
      <c r="D41" t="s">
        <v>39</v>
      </c>
      <c r="E41" t="s">
        <v>40</v>
      </c>
      <c r="F41" t="s">
        <v>19</v>
      </c>
      <c r="G41" t="s">
        <v>28</v>
      </c>
      <c r="H41" t="s">
        <v>393</v>
      </c>
      <c r="I41" t="str">
        <f>VLOOKUP(H41,REPORT!$B$1:$C$4,2,FALSE)</f>
        <v>Beauty</v>
      </c>
      <c r="J41" t="str">
        <f t="shared" si="1"/>
        <v>Mismatch</v>
      </c>
      <c r="K41" s="19">
        <v>8</v>
      </c>
      <c r="L41" s="22">
        <v>317.11</v>
      </c>
      <c r="M41" s="23">
        <v>0.1</v>
      </c>
      <c r="N41" s="25">
        <v>2283.19</v>
      </c>
      <c r="O41" t="s">
        <v>21</v>
      </c>
      <c r="P41" t="s">
        <v>48</v>
      </c>
      <c r="Q41" s="16">
        <v>45989</v>
      </c>
      <c r="R41">
        <v>4</v>
      </c>
      <c r="S41" t="str">
        <f t="shared" si="2"/>
        <v>YES</v>
      </c>
    </row>
    <row r="42" spans="1:19" x14ac:dyDescent="0.25">
      <c r="A42" t="s">
        <v>134</v>
      </c>
      <c r="B42" s="16">
        <v>45728</v>
      </c>
      <c r="C42" t="s">
        <v>135</v>
      </c>
      <c r="D42" t="s">
        <v>51</v>
      </c>
      <c r="E42" t="s">
        <v>52</v>
      </c>
      <c r="F42" t="s">
        <v>19</v>
      </c>
      <c r="G42" t="s">
        <v>20</v>
      </c>
      <c r="H42" t="s">
        <v>392</v>
      </c>
      <c r="I42" t="str">
        <f>VLOOKUP(H42,REPORT!$B$1:$C$4,2,FALSE)</f>
        <v>Electronics</v>
      </c>
      <c r="J42" t="str">
        <f t="shared" si="1"/>
        <v>Match</v>
      </c>
      <c r="K42" s="19">
        <v>7</v>
      </c>
      <c r="L42" s="22">
        <v>350.04</v>
      </c>
      <c r="M42" s="23">
        <v>0.05</v>
      </c>
      <c r="N42" s="25">
        <v>2327.77</v>
      </c>
      <c r="O42" t="s">
        <v>65</v>
      </c>
      <c r="P42" t="s">
        <v>81</v>
      </c>
      <c r="Q42" s="16">
        <v>45731</v>
      </c>
      <c r="S42" t="str">
        <f t="shared" si="2"/>
        <v>YES</v>
      </c>
    </row>
    <row r="43" spans="1:19" x14ac:dyDescent="0.25">
      <c r="A43" t="s">
        <v>136</v>
      </c>
      <c r="B43" s="16">
        <v>45857</v>
      </c>
      <c r="C43" t="s">
        <v>137</v>
      </c>
      <c r="D43" t="s">
        <v>72</v>
      </c>
      <c r="E43" t="s">
        <v>18</v>
      </c>
      <c r="F43" t="s">
        <v>19</v>
      </c>
      <c r="G43" t="s">
        <v>28</v>
      </c>
      <c r="H43" t="s">
        <v>393</v>
      </c>
      <c r="I43" t="str">
        <f>VLOOKUP(H43,REPORT!$B$1:$C$4,2,FALSE)</f>
        <v>Beauty</v>
      </c>
      <c r="J43" t="str">
        <f t="shared" si="1"/>
        <v>Mismatch</v>
      </c>
      <c r="K43" s="19">
        <v>1</v>
      </c>
      <c r="L43" s="22">
        <v>429.8</v>
      </c>
      <c r="M43" s="23">
        <v>0.2</v>
      </c>
      <c r="N43" s="25">
        <v>343.84</v>
      </c>
      <c r="O43" t="s">
        <v>21</v>
      </c>
      <c r="P43" t="s">
        <v>81</v>
      </c>
      <c r="Q43" s="16">
        <v>45870</v>
      </c>
      <c r="R43">
        <v>4</v>
      </c>
      <c r="S43" t="str">
        <f t="shared" si="2"/>
        <v>YES</v>
      </c>
    </row>
    <row r="44" spans="1:19" x14ac:dyDescent="0.25">
      <c r="A44" t="s">
        <v>138</v>
      </c>
      <c r="B44" s="16">
        <v>45788</v>
      </c>
      <c r="C44" t="s">
        <v>139</v>
      </c>
      <c r="D44" t="s">
        <v>55</v>
      </c>
      <c r="E44" t="s">
        <v>26</v>
      </c>
      <c r="F44" t="s">
        <v>60</v>
      </c>
      <c r="G44" t="s">
        <v>64</v>
      </c>
      <c r="H44" t="s">
        <v>395</v>
      </c>
      <c r="I44" t="str">
        <f>VLOOKUP(H44,REPORT!$B$1:$C$4,2,FALSE)</f>
        <v>Fashion</v>
      </c>
      <c r="J44" t="str">
        <f t="shared" si="1"/>
        <v>Match</v>
      </c>
      <c r="K44" s="19">
        <v>4</v>
      </c>
      <c r="L44" s="22">
        <v>143.74</v>
      </c>
      <c r="M44" s="23">
        <v>0.15</v>
      </c>
      <c r="N44" s="25">
        <v>488.72</v>
      </c>
      <c r="O44" t="s">
        <v>47</v>
      </c>
      <c r="P44" t="s">
        <v>81</v>
      </c>
      <c r="Q44" s="16">
        <v>45970</v>
      </c>
      <c r="R44">
        <v>1</v>
      </c>
      <c r="S44" t="str">
        <f t="shared" si="2"/>
        <v>YES</v>
      </c>
    </row>
    <row r="45" spans="1:19" x14ac:dyDescent="0.25">
      <c r="A45" t="s">
        <v>140</v>
      </c>
      <c r="B45" s="16">
        <v>45976</v>
      </c>
      <c r="C45" t="s">
        <v>141</v>
      </c>
      <c r="D45" t="s">
        <v>72</v>
      </c>
      <c r="E45" t="s">
        <v>91</v>
      </c>
      <c r="F45" t="s">
        <v>27</v>
      </c>
      <c r="G45" t="s">
        <v>46</v>
      </c>
      <c r="H45" t="s">
        <v>392</v>
      </c>
      <c r="I45" t="str">
        <f>VLOOKUP(H45,REPORT!$B$1:$C$4,2,FALSE)</f>
        <v>Electronics</v>
      </c>
      <c r="J45" t="str">
        <f t="shared" si="1"/>
        <v>Mismatch</v>
      </c>
      <c r="K45" s="19">
        <v>7</v>
      </c>
      <c r="L45" s="22">
        <v>300.02999999999997</v>
      </c>
      <c r="M45" s="23">
        <v>0</v>
      </c>
      <c r="N45" s="25">
        <v>2100.21</v>
      </c>
      <c r="O45" t="s">
        <v>57</v>
      </c>
      <c r="P45" t="s">
        <v>61</v>
      </c>
      <c r="Q45" s="16">
        <v>45985</v>
      </c>
      <c r="R45">
        <v>1</v>
      </c>
      <c r="S45" t="str">
        <f t="shared" si="2"/>
        <v>YES</v>
      </c>
    </row>
    <row r="46" spans="1:19" x14ac:dyDescent="0.25">
      <c r="A46" t="s">
        <v>142</v>
      </c>
      <c r="B46" s="16">
        <v>45766</v>
      </c>
      <c r="C46" t="s">
        <v>123</v>
      </c>
      <c r="D46" t="s">
        <v>55</v>
      </c>
      <c r="E46" t="s">
        <v>26</v>
      </c>
      <c r="F46" t="s">
        <v>27</v>
      </c>
      <c r="G46" t="s">
        <v>36</v>
      </c>
      <c r="H46" t="s">
        <v>394</v>
      </c>
      <c r="I46" t="str">
        <f>VLOOKUP(H46,REPORT!$B$1:$C$4,2,FALSE)</f>
        <v>Home &amp; Kitchen</v>
      </c>
      <c r="J46" t="str">
        <f t="shared" si="1"/>
        <v>Mismatch</v>
      </c>
      <c r="K46" s="19">
        <v>6</v>
      </c>
      <c r="L46" s="22">
        <v>383</v>
      </c>
      <c r="M46" s="23">
        <v>1.5</v>
      </c>
      <c r="N46" s="25">
        <v>-1149</v>
      </c>
      <c r="O46" t="s">
        <v>21</v>
      </c>
      <c r="P46" t="s">
        <v>81</v>
      </c>
      <c r="Q46" s="16">
        <v>45774</v>
      </c>
      <c r="R46">
        <v>3</v>
      </c>
      <c r="S46" t="str">
        <f t="shared" si="2"/>
        <v>YES</v>
      </c>
    </row>
    <row r="47" spans="1:19" x14ac:dyDescent="0.25">
      <c r="A47" t="s">
        <v>143</v>
      </c>
      <c r="B47" s="16">
        <v>45837</v>
      </c>
      <c r="C47" t="s">
        <v>93</v>
      </c>
      <c r="D47" t="s">
        <v>33</v>
      </c>
      <c r="E47" t="s">
        <v>34</v>
      </c>
      <c r="F47" t="s">
        <v>19</v>
      </c>
      <c r="G47" t="s">
        <v>46</v>
      </c>
      <c r="H47" t="s">
        <v>392</v>
      </c>
      <c r="I47" t="str">
        <f>VLOOKUP(H47,REPORT!$B$1:$C$4,2,FALSE)</f>
        <v>Electronics</v>
      </c>
      <c r="J47" t="str">
        <f t="shared" si="1"/>
        <v>Match</v>
      </c>
      <c r="K47" s="19">
        <v>1</v>
      </c>
      <c r="L47" s="22">
        <v>379.57</v>
      </c>
      <c r="M47" s="23">
        <v>0.05</v>
      </c>
      <c r="N47" s="25">
        <v>360.59</v>
      </c>
      <c r="O47" t="s">
        <v>21</v>
      </c>
      <c r="P47" t="s">
        <v>61</v>
      </c>
      <c r="Q47" s="16">
        <v>45841</v>
      </c>
      <c r="R47">
        <v>2</v>
      </c>
      <c r="S47" t="str">
        <f t="shared" si="2"/>
        <v>YES</v>
      </c>
    </row>
    <row r="48" spans="1:19" x14ac:dyDescent="0.25">
      <c r="A48" t="s">
        <v>144</v>
      </c>
      <c r="B48" s="16">
        <v>45769</v>
      </c>
      <c r="C48" t="s">
        <v>16</v>
      </c>
      <c r="D48" t="s">
        <v>72</v>
      </c>
      <c r="E48" t="s">
        <v>44</v>
      </c>
      <c r="F48" t="s">
        <v>19</v>
      </c>
      <c r="G48" t="s">
        <v>36</v>
      </c>
      <c r="H48" t="s">
        <v>394</v>
      </c>
      <c r="I48" t="str">
        <f>VLOOKUP(H48,REPORT!$B$1:$C$4,2,FALSE)</f>
        <v>Home &amp; Kitchen</v>
      </c>
      <c r="J48" t="str">
        <f t="shared" si="1"/>
        <v>Mismatch</v>
      </c>
      <c r="K48" s="19">
        <v>6</v>
      </c>
      <c r="L48" s="22">
        <v>92.22</v>
      </c>
      <c r="M48" s="23">
        <v>0.2</v>
      </c>
      <c r="N48" s="25">
        <v>442.66</v>
      </c>
      <c r="O48" t="s">
        <v>65</v>
      </c>
      <c r="P48" t="s">
        <v>61</v>
      </c>
      <c r="Q48" s="16">
        <v>45777</v>
      </c>
      <c r="R48">
        <v>1</v>
      </c>
      <c r="S48" t="str">
        <f t="shared" si="2"/>
        <v>YES</v>
      </c>
    </row>
    <row r="49" spans="1:19" x14ac:dyDescent="0.25">
      <c r="A49" t="s">
        <v>146</v>
      </c>
      <c r="B49" s="16">
        <v>45861</v>
      </c>
      <c r="C49" t="s">
        <v>50</v>
      </c>
      <c r="D49" t="s">
        <v>33</v>
      </c>
      <c r="E49" t="s">
        <v>34</v>
      </c>
      <c r="F49" t="s">
        <v>60</v>
      </c>
      <c r="G49" t="s">
        <v>20</v>
      </c>
      <c r="H49" t="s">
        <v>392</v>
      </c>
      <c r="I49" t="str">
        <f>VLOOKUP(H49,REPORT!$B$1:$C$4,2,FALSE)</f>
        <v>Electronics</v>
      </c>
      <c r="J49" t="str">
        <f t="shared" si="1"/>
        <v>Mismatch</v>
      </c>
      <c r="K49" s="19">
        <v>2</v>
      </c>
      <c r="L49" s="22">
        <v>300.13</v>
      </c>
      <c r="M49" s="23">
        <v>0.05</v>
      </c>
      <c r="N49" s="25">
        <v>570.25</v>
      </c>
      <c r="O49" t="s">
        <v>65</v>
      </c>
      <c r="P49" t="s">
        <v>61</v>
      </c>
      <c r="Q49" s="16">
        <v>45873</v>
      </c>
      <c r="R49">
        <v>1</v>
      </c>
      <c r="S49" t="str">
        <f t="shared" si="2"/>
        <v>YES</v>
      </c>
    </row>
    <row r="50" spans="1:19" x14ac:dyDescent="0.25">
      <c r="A50" t="s">
        <v>147</v>
      </c>
      <c r="B50" s="16">
        <v>45930</v>
      </c>
      <c r="C50" t="s">
        <v>148</v>
      </c>
      <c r="D50" t="s">
        <v>55</v>
      </c>
      <c r="E50" t="s">
        <v>26</v>
      </c>
      <c r="F50" t="s">
        <v>86</v>
      </c>
      <c r="G50" t="s">
        <v>36</v>
      </c>
      <c r="H50" t="s">
        <v>394</v>
      </c>
      <c r="I50" t="str">
        <f>VLOOKUP(H50,REPORT!$B$1:$C$4,2,FALSE)</f>
        <v>Home &amp; Kitchen</v>
      </c>
      <c r="J50" t="str">
        <f t="shared" si="1"/>
        <v>Match</v>
      </c>
      <c r="K50" s="19">
        <v>2</v>
      </c>
      <c r="L50" s="22">
        <v>257.92</v>
      </c>
      <c r="M50" s="23">
        <v>0.1</v>
      </c>
      <c r="N50" s="25">
        <v>464.26</v>
      </c>
      <c r="O50" t="s">
        <v>21</v>
      </c>
      <c r="P50" t="s">
        <v>81</v>
      </c>
      <c r="Q50" s="16">
        <v>45937</v>
      </c>
      <c r="R50">
        <v>8</v>
      </c>
      <c r="S50" t="str">
        <f t="shared" si="2"/>
        <v>YES</v>
      </c>
    </row>
    <row r="51" spans="1:19" x14ac:dyDescent="0.25">
      <c r="A51" t="s">
        <v>149</v>
      </c>
      <c r="B51" s="16">
        <v>45969</v>
      </c>
      <c r="C51" t="s">
        <v>150</v>
      </c>
      <c r="D51" t="s">
        <v>55</v>
      </c>
      <c r="E51" t="s">
        <v>26</v>
      </c>
      <c r="F51" t="s">
        <v>27</v>
      </c>
      <c r="G51" t="s">
        <v>28</v>
      </c>
      <c r="H51" t="s">
        <v>393</v>
      </c>
      <c r="I51" t="str">
        <f>VLOOKUP(H51,REPORT!$B$1:$C$4,2,FALSE)</f>
        <v>Beauty</v>
      </c>
      <c r="J51" t="str">
        <f t="shared" si="1"/>
        <v>Match</v>
      </c>
      <c r="K51" s="19">
        <v>5</v>
      </c>
      <c r="L51" s="22">
        <v>311.8</v>
      </c>
      <c r="M51" s="23">
        <v>0.2</v>
      </c>
      <c r="N51" s="25">
        <v>1247.2</v>
      </c>
      <c r="O51" t="s">
        <v>47</v>
      </c>
      <c r="P51" t="s">
        <v>69</v>
      </c>
      <c r="Q51" s="16">
        <v>45883</v>
      </c>
      <c r="R51">
        <v>4</v>
      </c>
      <c r="S51" t="str">
        <f t="shared" si="2"/>
        <v>NO</v>
      </c>
    </row>
    <row r="52" spans="1:19" x14ac:dyDescent="0.25">
      <c r="A52" t="s">
        <v>151</v>
      </c>
      <c r="B52" s="16">
        <v>45800</v>
      </c>
      <c r="C52" t="s">
        <v>153</v>
      </c>
      <c r="D52" t="s">
        <v>51</v>
      </c>
      <c r="E52" t="s">
        <v>52</v>
      </c>
      <c r="F52" t="s">
        <v>27</v>
      </c>
      <c r="G52" t="s">
        <v>20</v>
      </c>
      <c r="H52" t="s">
        <v>392</v>
      </c>
      <c r="I52" t="str">
        <f>VLOOKUP(H52,REPORT!$B$1:$C$4,2,FALSE)</f>
        <v>Electronics</v>
      </c>
      <c r="J52" t="str">
        <f t="shared" si="1"/>
        <v>Mismatch</v>
      </c>
      <c r="K52" s="19">
        <v>8</v>
      </c>
      <c r="L52" s="22">
        <v>289.23</v>
      </c>
      <c r="M52" s="23">
        <v>0.15</v>
      </c>
      <c r="N52" s="25">
        <v>1966.76</v>
      </c>
      <c r="O52" t="s">
        <v>21</v>
      </c>
      <c r="P52" t="s">
        <v>61</v>
      </c>
      <c r="Q52" s="16">
        <v>45797</v>
      </c>
      <c r="R52">
        <v>3</v>
      </c>
      <c r="S52" t="str">
        <f t="shared" si="2"/>
        <v>NO</v>
      </c>
    </row>
    <row r="53" spans="1:19" x14ac:dyDescent="0.25">
      <c r="A53" t="s">
        <v>154</v>
      </c>
      <c r="B53" s="16">
        <v>45832</v>
      </c>
      <c r="C53" t="s">
        <v>155</v>
      </c>
      <c r="D53" t="s">
        <v>72</v>
      </c>
      <c r="E53" t="s">
        <v>91</v>
      </c>
      <c r="F53" t="s">
        <v>60</v>
      </c>
      <c r="G53" t="s">
        <v>28</v>
      </c>
      <c r="H53" t="s">
        <v>393</v>
      </c>
      <c r="I53" t="str">
        <f>VLOOKUP(H53,REPORT!$B$1:$C$4,2,FALSE)</f>
        <v>Beauty</v>
      </c>
      <c r="J53" t="str">
        <f t="shared" si="1"/>
        <v>Mismatch</v>
      </c>
      <c r="K53" s="19">
        <v>5</v>
      </c>
      <c r="L53" s="22">
        <v>282.33999999999997</v>
      </c>
      <c r="M53" s="23">
        <v>0.2</v>
      </c>
      <c r="N53" s="25">
        <v>1129.3599999999999</v>
      </c>
      <c r="O53" t="s">
        <v>57</v>
      </c>
      <c r="P53" t="s">
        <v>81</v>
      </c>
      <c r="Q53" s="16">
        <v>45837</v>
      </c>
      <c r="R53">
        <v>2</v>
      </c>
      <c r="S53" t="str">
        <f t="shared" si="2"/>
        <v>YES</v>
      </c>
    </row>
    <row r="54" spans="1:19" x14ac:dyDescent="0.25">
      <c r="A54" t="s">
        <v>156</v>
      </c>
      <c r="B54" s="16">
        <v>45988</v>
      </c>
      <c r="C54" t="s">
        <v>157</v>
      </c>
      <c r="D54" t="s">
        <v>51</v>
      </c>
      <c r="E54" t="s">
        <v>52</v>
      </c>
      <c r="F54" t="s">
        <v>60</v>
      </c>
      <c r="G54" t="s">
        <v>64</v>
      </c>
      <c r="H54" t="s">
        <v>395</v>
      </c>
      <c r="I54" t="str">
        <f>VLOOKUP(H54,REPORT!$B$1:$C$4,2,FALSE)</f>
        <v>Fashion</v>
      </c>
      <c r="J54" t="str">
        <f t="shared" si="1"/>
        <v>Match</v>
      </c>
      <c r="K54" s="19">
        <v>0</v>
      </c>
      <c r="L54" s="22">
        <v>398.54</v>
      </c>
      <c r="M54" s="23">
        <v>0</v>
      </c>
      <c r="N54" s="25">
        <v>0</v>
      </c>
      <c r="O54" t="s">
        <v>21</v>
      </c>
      <c r="P54" t="s">
        <v>48</v>
      </c>
      <c r="Q54" s="16">
        <v>46000</v>
      </c>
      <c r="R54">
        <v>3</v>
      </c>
      <c r="S54" t="str">
        <f t="shared" si="2"/>
        <v>YES</v>
      </c>
    </row>
    <row r="55" spans="1:19" x14ac:dyDescent="0.25">
      <c r="A55" t="s">
        <v>158</v>
      </c>
      <c r="B55" s="16">
        <v>45929</v>
      </c>
      <c r="C55" t="s">
        <v>159</v>
      </c>
      <c r="D55" t="s">
        <v>72</v>
      </c>
      <c r="E55" t="s">
        <v>44</v>
      </c>
      <c r="F55" t="s">
        <v>19</v>
      </c>
      <c r="G55" t="s">
        <v>64</v>
      </c>
      <c r="H55" t="s">
        <v>395</v>
      </c>
      <c r="I55" t="str">
        <f>VLOOKUP(H55,REPORT!$B$1:$C$4,2,FALSE)</f>
        <v>Fashion</v>
      </c>
      <c r="J55" t="str">
        <f t="shared" si="1"/>
        <v>Mismatch</v>
      </c>
      <c r="K55" s="19">
        <v>9</v>
      </c>
      <c r="L55" s="22">
        <v>172.09</v>
      </c>
      <c r="M55" s="23">
        <v>0.15</v>
      </c>
      <c r="N55" s="25">
        <v>1316.49</v>
      </c>
      <c r="O55" t="s">
        <v>21</v>
      </c>
      <c r="P55" t="s">
        <v>30</v>
      </c>
      <c r="Q55" s="16">
        <v>45935</v>
      </c>
      <c r="R55">
        <v>3</v>
      </c>
      <c r="S55" t="str">
        <f t="shared" si="2"/>
        <v>YES</v>
      </c>
    </row>
    <row r="56" spans="1:19" x14ac:dyDescent="0.25">
      <c r="A56" t="s">
        <v>160</v>
      </c>
      <c r="B56" s="16">
        <v>46011</v>
      </c>
      <c r="C56" t="s">
        <v>161</v>
      </c>
      <c r="D56" t="s">
        <v>72</v>
      </c>
      <c r="E56" t="s">
        <v>18</v>
      </c>
      <c r="F56" t="s">
        <v>27</v>
      </c>
      <c r="G56" t="s">
        <v>20</v>
      </c>
      <c r="H56" t="s">
        <v>392</v>
      </c>
      <c r="I56" t="str">
        <f>VLOOKUP(H56,REPORT!$B$1:$C$4,2,FALSE)</f>
        <v>Electronics</v>
      </c>
      <c r="J56" t="str">
        <f t="shared" si="1"/>
        <v>Mismatch</v>
      </c>
      <c r="K56" s="19">
        <v>-2</v>
      </c>
      <c r="L56" s="22">
        <v>371.92</v>
      </c>
      <c r="M56" s="23">
        <v>0.1</v>
      </c>
      <c r="N56" s="25">
        <v>-669.46</v>
      </c>
      <c r="O56" t="s">
        <v>21</v>
      </c>
      <c r="P56" t="s">
        <v>48</v>
      </c>
      <c r="R56">
        <v>5</v>
      </c>
      <c r="S56" t="str">
        <f t="shared" si="2"/>
        <v>NO</v>
      </c>
    </row>
    <row r="57" spans="1:19" x14ac:dyDescent="0.25">
      <c r="A57" t="s">
        <v>162</v>
      </c>
      <c r="B57" s="16">
        <v>45870</v>
      </c>
      <c r="C57" t="s">
        <v>163</v>
      </c>
      <c r="D57" t="s">
        <v>39</v>
      </c>
      <c r="E57" t="s">
        <v>40</v>
      </c>
      <c r="F57" t="s">
        <v>19</v>
      </c>
      <c r="G57" t="s">
        <v>28</v>
      </c>
      <c r="H57" t="s">
        <v>393</v>
      </c>
      <c r="I57" t="str">
        <f>VLOOKUP(H57,REPORT!$B$1:$C$4,2,FALSE)</f>
        <v>Beauty</v>
      </c>
      <c r="J57" t="str">
        <f t="shared" si="1"/>
        <v>Mismatch</v>
      </c>
      <c r="K57" s="19">
        <v>3</v>
      </c>
      <c r="L57" s="22">
        <v>144.41</v>
      </c>
      <c r="M57" s="23">
        <v>0</v>
      </c>
      <c r="N57" s="25">
        <v>433.23</v>
      </c>
      <c r="O57" t="s">
        <v>47</v>
      </c>
      <c r="P57" t="s">
        <v>81</v>
      </c>
      <c r="Q57" s="16">
        <v>45677</v>
      </c>
      <c r="R57">
        <v>5</v>
      </c>
      <c r="S57" t="str">
        <f t="shared" si="2"/>
        <v>NO</v>
      </c>
    </row>
    <row r="58" spans="1:19" x14ac:dyDescent="0.25">
      <c r="A58" t="s">
        <v>164</v>
      </c>
      <c r="B58" s="16">
        <v>45803</v>
      </c>
      <c r="C58" t="s">
        <v>386</v>
      </c>
      <c r="D58" t="s">
        <v>55</v>
      </c>
      <c r="E58" t="s">
        <v>26</v>
      </c>
      <c r="F58" t="s">
        <v>27</v>
      </c>
      <c r="G58" t="s">
        <v>64</v>
      </c>
      <c r="H58" t="s">
        <v>395</v>
      </c>
      <c r="I58" t="str">
        <f>VLOOKUP(H58,REPORT!$B$1:$C$4,2,FALSE)</f>
        <v>Fashion</v>
      </c>
      <c r="J58" t="str">
        <f t="shared" si="1"/>
        <v>Mismatch</v>
      </c>
      <c r="K58" s="19">
        <v>8</v>
      </c>
      <c r="L58" s="22">
        <v>176.95</v>
      </c>
      <c r="M58" s="23">
        <v>0</v>
      </c>
      <c r="N58" s="25">
        <v>1415.6</v>
      </c>
      <c r="O58" t="s">
        <v>21</v>
      </c>
      <c r="P58" t="s">
        <v>81</v>
      </c>
      <c r="Q58" s="16">
        <v>45811</v>
      </c>
      <c r="R58">
        <v>3</v>
      </c>
      <c r="S58" t="str">
        <f t="shared" si="2"/>
        <v>YES</v>
      </c>
    </row>
    <row r="59" spans="1:19" x14ac:dyDescent="0.25">
      <c r="A59" t="s">
        <v>165</v>
      </c>
      <c r="B59" s="16">
        <v>46009</v>
      </c>
      <c r="C59" t="s">
        <v>166</v>
      </c>
      <c r="D59" t="s">
        <v>51</v>
      </c>
      <c r="E59" t="s">
        <v>52</v>
      </c>
      <c r="F59" t="s">
        <v>60</v>
      </c>
      <c r="G59" t="s">
        <v>20</v>
      </c>
      <c r="H59" t="s">
        <v>392</v>
      </c>
      <c r="I59" t="str">
        <f>VLOOKUP(H59,REPORT!$B$1:$C$4,2,FALSE)</f>
        <v>Electronics</v>
      </c>
      <c r="J59" t="str">
        <f t="shared" si="1"/>
        <v>Mismatch</v>
      </c>
      <c r="K59" s="19">
        <v>3</v>
      </c>
      <c r="L59" s="22">
        <v>407.46</v>
      </c>
      <c r="M59" s="23">
        <v>0.1</v>
      </c>
      <c r="N59" s="25">
        <v>1100.1400000000001</v>
      </c>
      <c r="O59" t="s">
        <v>57</v>
      </c>
      <c r="P59" t="s">
        <v>69</v>
      </c>
      <c r="Q59" s="16">
        <v>46010</v>
      </c>
      <c r="R59">
        <v>1</v>
      </c>
      <c r="S59" t="str">
        <f t="shared" si="2"/>
        <v>YES</v>
      </c>
    </row>
    <row r="60" spans="1:19" x14ac:dyDescent="0.25">
      <c r="A60" t="s">
        <v>167</v>
      </c>
      <c r="B60" s="16">
        <v>45925</v>
      </c>
      <c r="C60" t="s">
        <v>387</v>
      </c>
      <c r="D60" t="s">
        <v>33</v>
      </c>
      <c r="E60" t="s">
        <v>34</v>
      </c>
      <c r="F60" t="s">
        <v>60</v>
      </c>
      <c r="G60" t="s">
        <v>64</v>
      </c>
      <c r="H60" t="s">
        <v>395</v>
      </c>
      <c r="I60" t="str">
        <f>VLOOKUP(H60,REPORT!$B$1:$C$4,2,FALSE)</f>
        <v>Fashion</v>
      </c>
      <c r="J60" t="str">
        <f t="shared" si="1"/>
        <v>Match</v>
      </c>
      <c r="K60" s="19">
        <v>8</v>
      </c>
      <c r="L60" s="22">
        <v>155.69999999999999</v>
      </c>
      <c r="M60" s="23">
        <v>0.2</v>
      </c>
      <c r="N60" s="25">
        <v>996.48</v>
      </c>
      <c r="O60" t="s">
        <v>21</v>
      </c>
      <c r="P60" t="s">
        <v>69</v>
      </c>
      <c r="Q60" s="16">
        <v>45932</v>
      </c>
      <c r="R60">
        <v>4</v>
      </c>
      <c r="S60" t="str">
        <f t="shared" si="2"/>
        <v>YES</v>
      </c>
    </row>
    <row r="61" spans="1:19" x14ac:dyDescent="0.25">
      <c r="A61" t="s">
        <v>169</v>
      </c>
      <c r="B61" s="16">
        <v>45766</v>
      </c>
      <c r="C61" t="s">
        <v>157</v>
      </c>
      <c r="D61" t="s">
        <v>72</v>
      </c>
      <c r="E61" t="s">
        <v>18</v>
      </c>
      <c r="F61" t="s">
        <v>86</v>
      </c>
      <c r="G61" t="s">
        <v>46</v>
      </c>
      <c r="H61" t="s">
        <v>392</v>
      </c>
      <c r="I61" t="str">
        <f>VLOOKUP(H61,REPORT!$B$1:$C$4,2,FALSE)</f>
        <v>Electronics</v>
      </c>
      <c r="J61" t="str">
        <f t="shared" si="1"/>
        <v>Mismatch</v>
      </c>
      <c r="K61" s="19">
        <v>3</v>
      </c>
      <c r="L61" s="22">
        <v>127.53</v>
      </c>
      <c r="M61" s="23">
        <v>0.2</v>
      </c>
      <c r="N61" s="25">
        <v>306.07</v>
      </c>
      <c r="O61" t="s">
        <v>57</v>
      </c>
      <c r="P61" t="s">
        <v>30</v>
      </c>
      <c r="Q61" s="16">
        <v>45771</v>
      </c>
      <c r="R61">
        <v>1</v>
      </c>
      <c r="S61" t="str">
        <f t="shared" si="2"/>
        <v>YES</v>
      </c>
    </row>
    <row r="62" spans="1:19" x14ac:dyDescent="0.25">
      <c r="A62" t="s">
        <v>170</v>
      </c>
      <c r="B62" s="16">
        <v>45776</v>
      </c>
      <c r="C62" t="s">
        <v>133</v>
      </c>
      <c r="D62" t="s">
        <v>51</v>
      </c>
      <c r="E62" t="s">
        <v>52</v>
      </c>
      <c r="F62" t="s">
        <v>19</v>
      </c>
      <c r="G62" t="s">
        <v>36</v>
      </c>
      <c r="H62" t="s">
        <v>394</v>
      </c>
      <c r="I62" t="str">
        <f>VLOOKUP(H62,REPORT!$B$1:$C$4,2,FALSE)</f>
        <v>Home &amp; Kitchen</v>
      </c>
      <c r="J62" t="str">
        <f t="shared" si="1"/>
        <v>Mismatch</v>
      </c>
      <c r="K62" s="19">
        <v>8</v>
      </c>
      <c r="L62" s="22">
        <v>44.88</v>
      </c>
      <c r="M62" s="23">
        <v>0.05</v>
      </c>
      <c r="N62" s="25">
        <v>341.09</v>
      </c>
      <c r="O62" t="s">
        <v>65</v>
      </c>
      <c r="P62" t="s">
        <v>61</v>
      </c>
      <c r="Q62" s="16">
        <v>45781</v>
      </c>
      <c r="S62" t="str">
        <f t="shared" si="2"/>
        <v>YES</v>
      </c>
    </row>
    <row r="63" spans="1:19" x14ac:dyDescent="0.25">
      <c r="A63" t="s">
        <v>172</v>
      </c>
      <c r="B63" s="16">
        <v>45810</v>
      </c>
      <c r="C63" t="s">
        <v>173</v>
      </c>
      <c r="D63" t="s">
        <v>55</v>
      </c>
      <c r="E63" t="s">
        <v>26</v>
      </c>
      <c r="F63" t="s">
        <v>86</v>
      </c>
      <c r="G63" t="s">
        <v>20</v>
      </c>
      <c r="H63" t="s">
        <v>392</v>
      </c>
      <c r="I63" t="str">
        <f>VLOOKUP(H63,REPORT!$B$1:$C$4,2,FALSE)</f>
        <v>Electronics</v>
      </c>
      <c r="J63" t="str">
        <f t="shared" si="1"/>
        <v>Mismatch</v>
      </c>
      <c r="K63" s="19">
        <v>5</v>
      </c>
      <c r="L63" s="22">
        <v>301.57</v>
      </c>
      <c r="M63" s="23">
        <v>0.2</v>
      </c>
      <c r="N63" s="25">
        <v>1206.28</v>
      </c>
      <c r="O63" t="s">
        <v>47</v>
      </c>
      <c r="P63" t="s">
        <v>48</v>
      </c>
      <c r="Q63" s="16">
        <v>45695</v>
      </c>
      <c r="R63">
        <v>3</v>
      </c>
      <c r="S63" t="str">
        <f t="shared" si="2"/>
        <v>NO</v>
      </c>
    </row>
    <row r="64" spans="1:19" x14ac:dyDescent="0.25">
      <c r="A64" t="s">
        <v>174</v>
      </c>
      <c r="B64" s="16">
        <v>45939</v>
      </c>
      <c r="C64" t="s">
        <v>175</v>
      </c>
      <c r="D64" t="s">
        <v>33</v>
      </c>
      <c r="E64" t="s">
        <v>34</v>
      </c>
      <c r="F64" t="s">
        <v>19</v>
      </c>
      <c r="G64" t="s">
        <v>46</v>
      </c>
      <c r="H64" t="s">
        <v>392</v>
      </c>
      <c r="I64" t="str">
        <f>VLOOKUP(H64,REPORT!$B$1:$C$4,2,FALSE)</f>
        <v>Electronics</v>
      </c>
      <c r="J64" t="str">
        <f t="shared" si="1"/>
        <v>Match</v>
      </c>
      <c r="K64" s="19">
        <v>10</v>
      </c>
      <c r="L64" s="22">
        <v>29.53</v>
      </c>
      <c r="M64" s="23">
        <v>0.15</v>
      </c>
      <c r="N64" s="25">
        <v>251</v>
      </c>
      <c r="O64" t="s">
        <v>21</v>
      </c>
      <c r="P64" t="s">
        <v>30</v>
      </c>
      <c r="Q64" s="16">
        <v>45918</v>
      </c>
      <c r="R64">
        <v>3</v>
      </c>
      <c r="S64" t="str">
        <f t="shared" si="2"/>
        <v>NO</v>
      </c>
    </row>
    <row r="65" spans="1:19" x14ac:dyDescent="0.25">
      <c r="A65" t="s">
        <v>176</v>
      </c>
      <c r="B65" s="16">
        <v>45953</v>
      </c>
      <c r="C65" t="s">
        <v>177</v>
      </c>
      <c r="D65" t="s">
        <v>72</v>
      </c>
      <c r="E65" t="s">
        <v>91</v>
      </c>
      <c r="F65" t="s">
        <v>86</v>
      </c>
      <c r="G65" t="s">
        <v>20</v>
      </c>
      <c r="H65" t="s">
        <v>392</v>
      </c>
      <c r="I65" t="str">
        <f>VLOOKUP(H65,REPORT!$B$1:$C$4,2,FALSE)</f>
        <v>Electronics</v>
      </c>
      <c r="J65" t="str">
        <f t="shared" si="1"/>
        <v>Mismatch</v>
      </c>
      <c r="K65" s="19">
        <v>8</v>
      </c>
      <c r="L65" s="22">
        <v>264.29000000000002</v>
      </c>
      <c r="M65" s="23">
        <v>0.15</v>
      </c>
      <c r="N65" s="25">
        <v>1797.17</v>
      </c>
      <c r="O65" t="s">
        <v>47</v>
      </c>
      <c r="P65" t="s">
        <v>81</v>
      </c>
      <c r="Q65" s="16">
        <v>45954</v>
      </c>
      <c r="R65">
        <v>3</v>
      </c>
      <c r="S65" t="str">
        <f t="shared" si="2"/>
        <v>YES</v>
      </c>
    </row>
    <row r="66" spans="1:19" x14ac:dyDescent="0.25">
      <c r="A66" t="s">
        <v>178</v>
      </c>
      <c r="B66" s="16">
        <v>45828</v>
      </c>
      <c r="C66" t="s">
        <v>179</v>
      </c>
      <c r="D66" t="s">
        <v>55</v>
      </c>
      <c r="E66" t="s">
        <v>26</v>
      </c>
      <c r="F66" t="s">
        <v>27</v>
      </c>
      <c r="G66" t="s">
        <v>46</v>
      </c>
      <c r="H66" t="s">
        <v>392</v>
      </c>
      <c r="I66" t="str">
        <f>VLOOKUP(H66,REPORT!$B$1:$C$4,2,FALSE)</f>
        <v>Electronics</v>
      </c>
      <c r="J66" t="str">
        <f t="shared" si="1"/>
        <v>Mismatch</v>
      </c>
      <c r="K66" s="19">
        <v>3</v>
      </c>
      <c r="L66" s="22">
        <v>171.6</v>
      </c>
      <c r="M66" s="23">
        <v>0.15</v>
      </c>
      <c r="N66" s="25">
        <v>437.58</v>
      </c>
      <c r="O66" t="s">
        <v>65</v>
      </c>
      <c r="P66" t="s">
        <v>61</v>
      </c>
      <c r="Q66" s="16">
        <v>45834</v>
      </c>
      <c r="R66">
        <v>3</v>
      </c>
      <c r="S66" t="str">
        <f t="shared" ref="S66:S97" si="3">IF(B66&lt;=Q66,"YES","NO")</f>
        <v>YES</v>
      </c>
    </row>
    <row r="67" spans="1:19" x14ac:dyDescent="0.25">
      <c r="A67" t="s">
        <v>180</v>
      </c>
      <c r="B67" s="16">
        <v>45823</v>
      </c>
      <c r="C67" t="s">
        <v>181</v>
      </c>
      <c r="D67" t="s">
        <v>51</v>
      </c>
      <c r="E67" t="s">
        <v>52</v>
      </c>
      <c r="F67" t="s">
        <v>19</v>
      </c>
      <c r="G67" t="s">
        <v>64</v>
      </c>
      <c r="H67" t="s">
        <v>395</v>
      </c>
      <c r="I67" t="str">
        <f>VLOOKUP(H67,REPORT!$B$1:$C$4,2,FALSE)</f>
        <v>Fashion</v>
      </c>
      <c r="J67" t="str">
        <f t="shared" ref="J67:J130" si="4">IF(F67=I67,"Match","Mismatch")</f>
        <v>Mismatch</v>
      </c>
      <c r="K67" s="19">
        <v>9</v>
      </c>
      <c r="L67" s="22">
        <v>414.21</v>
      </c>
      <c r="M67" s="23">
        <v>0</v>
      </c>
      <c r="N67" s="25">
        <v>3727.89</v>
      </c>
      <c r="O67" t="s">
        <v>21</v>
      </c>
      <c r="P67" t="s">
        <v>69</v>
      </c>
      <c r="Q67" s="16">
        <v>45825</v>
      </c>
      <c r="R67">
        <v>5</v>
      </c>
      <c r="S67" t="str">
        <f t="shared" si="3"/>
        <v>YES</v>
      </c>
    </row>
    <row r="68" spans="1:19" x14ac:dyDescent="0.25">
      <c r="A68" t="s">
        <v>182</v>
      </c>
      <c r="B68" s="16">
        <v>45658</v>
      </c>
      <c r="C68" t="s">
        <v>183</v>
      </c>
      <c r="D68" t="s">
        <v>33</v>
      </c>
      <c r="E68" t="s">
        <v>34</v>
      </c>
      <c r="F68" t="s">
        <v>86</v>
      </c>
      <c r="G68" t="s">
        <v>46</v>
      </c>
      <c r="H68" t="s">
        <v>392</v>
      </c>
      <c r="I68" t="str">
        <f>VLOOKUP(H68,REPORT!$B$1:$C$4,2,FALSE)</f>
        <v>Electronics</v>
      </c>
      <c r="J68" t="str">
        <f t="shared" si="4"/>
        <v>Mismatch</v>
      </c>
      <c r="K68" s="19">
        <v>4</v>
      </c>
      <c r="L68" s="22">
        <v>140.86000000000001</v>
      </c>
      <c r="M68" s="23">
        <v>1.5</v>
      </c>
      <c r="N68" s="25">
        <v>-281.72000000000003</v>
      </c>
      <c r="O68" t="s">
        <v>21</v>
      </c>
      <c r="P68" t="s">
        <v>61</v>
      </c>
      <c r="Q68" s="16">
        <v>45897</v>
      </c>
      <c r="R68">
        <v>3</v>
      </c>
      <c r="S68" t="str">
        <f t="shared" si="3"/>
        <v>YES</v>
      </c>
    </row>
    <row r="69" spans="1:19" x14ac:dyDescent="0.25">
      <c r="A69" t="s">
        <v>184</v>
      </c>
      <c r="B69" s="16">
        <v>45906</v>
      </c>
      <c r="C69" t="s">
        <v>157</v>
      </c>
      <c r="D69" t="s">
        <v>72</v>
      </c>
      <c r="E69" t="s">
        <v>18</v>
      </c>
      <c r="F69" t="s">
        <v>60</v>
      </c>
      <c r="G69" t="s">
        <v>46</v>
      </c>
      <c r="H69" t="s">
        <v>392</v>
      </c>
      <c r="I69" t="str">
        <f>VLOOKUP(H69,REPORT!$B$1:$C$4,2,FALSE)</f>
        <v>Electronics</v>
      </c>
      <c r="J69" t="str">
        <f t="shared" si="4"/>
        <v>Mismatch</v>
      </c>
      <c r="K69" s="19">
        <v>9</v>
      </c>
      <c r="L69" s="22">
        <v>209.92</v>
      </c>
      <c r="M69" s="23">
        <v>0.05</v>
      </c>
      <c r="N69" s="25">
        <v>1794.82</v>
      </c>
      <c r="O69" t="s">
        <v>21</v>
      </c>
      <c r="P69" t="s">
        <v>81</v>
      </c>
      <c r="Q69" s="16">
        <v>45826</v>
      </c>
      <c r="R69">
        <v>1</v>
      </c>
      <c r="S69" t="str">
        <f t="shared" si="3"/>
        <v>NO</v>
      </c>
    </row>
    <row r="70" spans="1:19" x14ac:dyDescent="0.25">
      <c r="A70" t="s">
        <v>185</v>
      </c>
      <c r="B70" s="16">
        <v>45665</v>
      </c>
      <c r="C70" t="s">
        <v>139</v>
      </c>
      <c r="D70" t="s">
        <v>72</v>
      </c>
      <c r="E70" t="s">
        <v>91</v>
      </c>
      <c r="F70" t="s">
        <v>60</v>
      </c>
      <c r="G70" t="s">
        <v>64</v>
      </c>
      <c r="H70" t="s">
        <v>395</v>
      </c>
      <c r="I70" t="str">
        <f>VLOOKUP(H70,REPORT!$B$1:$C$4,2,FALSE)</f>
        <v>Fashion</v>
      </c>
      <c r="J70" t="str">
        <f t="shared" si="4"/>
        <v>Match</v>
      </c>
      <c r="K70" s="19">
        <v>8</v>
      </c>
      <c r="L70" s="22">
        <v>129.43</v>
      </c>
      <c r="M70" s="23">
        <v>0.2</v>
      </c>
      <c r="N70" s="25">
        <v>828.35</v>
      </c>
      <c r="O70" t="s">
        <v>65</v>
      </c>
      <c r="P70" t="s">
        <v>30</v>
      </c>
      <c r="Q70" s="16">
        <v>45884</v>
      </c>
      <c r="R70">
        <v>2</v>
      </c>
      <c r="S70" t="str">
        <f t="shared" si="3"/>
        <v>YES</v>
      </c>
    </row>
    <row r="71" spans="1:19" x14ac:dyDescent="0.25">
      <c r="A71" t="s">
        <v>186</v>
      </c>
      <c r="B71" s="16">
        <v>45665</v>
      </c>
      <c r="C71" t="s">
        <v>63</v>
      </c>
      <c r="D71" t="s">
        <v>55</v>
      </c>
      <c r="E71" t="s">
        <v>26</v>
      </c>
      <c r="F71" t="s">
        <v>19</v>
      </c>
      <c r="G71" t="s">
        <v>28</v>
      </c>
      <c r="H71" t="s">
        <v>393</v>
      </c>
      <c r="I71" t="str">
        <f>VLOOKUP(H71,REPORT!$B$1:$C$4,2,FALSE)</f>
        <v>Beauty</v>
      </c>
      <c r="J71" t="str">
        <f t="shared" si="4"/>
        <v>Mismatch</v>
      </c>
      <c r="K71" s="19">
        <v>5</v>
      </c>
      <c r="L71" s="22">
        <v>412.07</v>
      </c>
      <c r="M71" s="23">
        <v>0.1</v>
      </c>
      <c r="N71" s="25">
        <v>1854.32</v>
      </c>
      <c r="O71" t="s">
        <v>57</v>
      </c>
      <c r="P71" t="s">
        <v>69</v>
      </c>
      <c r="Q71" s="16">
        <v>45876</v>
      </c>
      <c r="R71">
        <v>3</v>
      </c>
      <c r="S71" t="str">
        <f t="shared" si="3"/>
        <v>YES</v>
      </c>
    </row>
    <row r="72" spans="1:19" x14ac:dyDescent="0.25">
      <c r="A72" t="s">
        <v>188</v>
      </c>
      <c r="B72" s="16">
        <v>45936</v>
      </c>
      <c r="C72" t="s">
        <v>189</v>
      </c>
      <c r="D72" t="s">
        <v>55</v>
      </c>
      <c r="E72" t="s">
        <v>26</v>
      </c>
      <c r="F72" t="s">
        <v>27</v>
      </c>
      <c r="G72" t="s">
        <v>64</v>
      </c>
      <c r="H72" t="s">
        <v>395</v>
      </c>
      <c r="I72" t="str">
        <f>VLOOKUP(H72,REPORT!$B$1:$C$4,2,FALSE)</f>
        <v>Fashion</v>
      </c>
      <c r="J72" t="str">
        <f t="shared" si="4"/>
        <v>Mismatch</v>
      </c>
      <c r="K72" s="19">
        <v>6</v>
      </c>
      <c r="L72" s="22">
        <v>436.1</v>
      </c>
      <c r="M72" s="23">
        <v>0.05</v>
      </c>
      <c r="N72" s="25">
        <v>2485.77</v>
      </c>
      <c r="O72" t="s">
        <v>57</v>
      </c>
      <c r="P72" t="s">
        <v>61</v>
      </c>
      <c r="Q72" s="16">
        <v>45943</v>
      </c>
      <c r="R72">
        <v>5</v>
      </c>
      <c r="S72" t="str">
        <f t="shared" si="3"/>
        <v>YES</v>
      </c>
    </row>
    <row r="73" spans="1:19" x14ac:dyDescent="0.25">
      <c r="A73" t="s">
        <v>190</v>
      </c>
      <c r="B73" s="16">
        <v>45855</v>
      </c>
      <c r="C73" t="s">
        <v>191</v>
      </c>
      <c r="D73" t="s">
        <v>39</v>
      </c>
      <c r="E73" t="s">
        <v>40</v>
      </c>
      <c r="F73" t="s">
        <v>19</v>
      </c>
      <c r="G73" t="s">
        <v>20</v>
      </c>
      <c r="H73" t="s">
        <v>392</v>
      </c>
      <c r="I73" t="str">
        <f>VLOOKUP(H73,REPORT!$B$1:$C$4,2,FALSE)</f>
        <v>Electronics</v>
      </c>
      <c r="J73" t="str">
        <f t="shared" si="4"/>
        <v>Match</v>
      </c>
      <c r="K73" s="19">
        <v>8</v>
      </c>
      <c r="L73" s="22">
        <v>482.76</v>
      </c>
      <c r="M73" s="23">
        <v>0.05</v>
      </c>
      <c r="N73" s="25">
        <v>3668.98</v>
      </c>
      <c r="O73" t="s">
        <v>57</v>
      </c>
      <c r="P73" t="s">
        <v>61</v>
      </c>
      <c r="Q73" s="16">
        <v>45866</v>
      </c>
      <c r="R73">
        <v>5</v>
      </c>
      <c r="S73" t="str">
        <f t="shared" si="3"/>
        <v>YES</v>
      </c>
    </row>
    <row r="74" spans="1:19" x14ac:dyDescent="0.25">
      <c r="A74" t="s">
        <v>192</v>
      </c>
      <c r="B74" s="16">
        <v>45731</v>
      </c>
      <c r="C74" t="s">
        <v>193</v>
      </c>
      <c r="D74" t="s">
        <v>55</v>
      </c>
      <c r="E74" t="s">
        <v>26</v>
      </c>
      <c r="F74" t="s">
        <v>19</v>
      </c>
      <c r="G74" t="s">
        <v>20</v>
      </c>
      <c r="H74" t="s">
        <v>392</v>
      </c>
      <c r="I74" t="str">
        <f>VLOOKUP(H74,REPORT!$B$1:$C$4,2,FALSE)</f>
        <v>Electronics</v>
      </c>
      <c r="J74" t="str">
        <f t="shared" si="4"/>
        <v>Match</v>
      </c>
      <c r="K74" s="19">
        <v>-2</v>
      </c>
      <c r="L74" s="22">
        <v>240.05</v>
      </c>
      <c r="M74" s="23">
        <v>0.1</v>
      </c>
      <c r="N74" s="25">
        <v>-432.09</v>
      </c>
      <c r="O74" t="s">
        <v>21</v>
      </c>
      <c r="P74" t="s">
        <v>30</v>
      </c>
      <c r="Q74" s="16">
        <v>45738</v>
      </c>
      <c r="R74">
        <v>8</v>
      </c>
      <c r="S74" t="str">
        <f t="shared" si="3"/>
        <v>YES</v>
      </c>
    </row>
    <row r="75" spans="1:19" x14ac:dyDescent="0.25">
      <c r="A75" t="s">
        <v>194</v>
      </c>
      <c r="B75" s="16">
        <v>45847</v>
      </c>
      <c r="C75" t="s">
        <v>195</v>
      </c>
      <c r="D75" t="s">
        <v>51</v>
      </c>
      <c r="E75" t="s">
        <v>52</v>
      </c>
      <c r="F75" t="s">
        <v>19</v>
      </c>
      <c r="G75" t="s">
        <v>28</v>
      </c>
      <c r="H75" t="s">
        <v>393</v>
      </c>
      <c r="I75" t="str">
        <f>VLOOKUP(H75,REPORT!$B$1:$C$4,2,FALSE)</f>
        <v>Beauty</v>
      </c>
      <c r="J75" t="str">
        <f t="shared" si="4"/>
        <v>Mismatch</v>
      </c>
      <c r="K75" s="19">
        <v>1</v>
      </c>
      <c r="L75" s="22">
        <v>312.56</v>
      </c>
      <c r="M75" s="23">
        <v>0.05</v>
      </c>
      <c r="N75" s="25">
        <v>296.93</v>
      </c>
      <c r="O75" t="s">
        <v>57</v>
      </c>
      <c r="P75" t="s">
        <v>61</v>
      </c>
      <c r="Q75" s="16">
        <v>45921</v>
      </c>
      <c r="R75">
        <v>3</v>
      </c>
      <c r="S75" t="str">
        <f t="shared" si="3"/>
        <v>YES</v>
      </c>
    </row>
    <row r="76" spans="1:19" x14ac:dyDescent="0.25">
      <c r="A76" t="s">
        <v>196</v>
      </c>
      <c r="B76" s="16">
        <v>45672</v>
      </c>
      <c r="C76" t="s">
        <v>197</v>
      </c>
      <c r="D76" t="s">
        <v>72</v>
      </c>
      <c r="E76" t="s">
        <v>91</v>
      </c>
      <c r="F76" t="s">
        <v>60</v>
      </c>
      <c r="G76" t="s">
        <v>36</v>
      </c>
      <c r="H76" t="s">
        <v>394</v>
      </c>
      <c r="I76" t="str">
        <f>VLOOKUP(H76,REPORT!$B$1:$C$4,2,FALSE)</f>
        <v>Home &amp; Kitchen</v>
      </c>
      <c r="J76" t="str">
        <f t="shared" si="4"/>
        <v>Mismatch</v>
      </c>
      <c r="K76" s="19">
        <v>1</v>
      </c>
      <c r="L76" s="22">
        <v>153.75</v>
      </c>
      <c r="M76" s="23">
        <v>0.1</v>
      </c>
      <c r="N76" s="25">
        <v>138.38</v>
      </c>
      <c r="O76" t="s">
        <v>57</v>
      </c>
      <c r="P76" t="s">
        <v>69</v>
      </c>
      <c r="Q76" s="16">
        <v>45673</v>
      </c>
      <c r="R76">
        <v>4</v>
      </c>
      <c r="S76" t="str">
        <f t="shared" si="3"/>
        <v>YES</v>
      </c>
    </row>
    <row r="77" spans="1:19" x14ac:dyDescent="0.25">
      <c r="A77" t="s">
        <v>198</v>
      </c>
      <c r="B77" s="16">
        <v>45911</v>
      </c>
      <c r="C77" t="s">
        <v>199</v>
      </c>
      <c r="D77" t="s">
        <v>72</v>
      </c>
      <c r="E77" t="s">
        <v>91</v>
      </c>
      <c r="F77" t="s">
        <v>86</v>
      </c>
      <c r="G77" t="s">
        <v>64</v>
      </c>
      <c r="H77" t="s">
        <v>395</v>
      </c>
      <c r="I77" t="str">
        <f>VLOOKUP(H77,REPORT!$B$1:$C$4,2,FALSE)</f>
        <v>Fashion</v>
      </c>
      <c r="J77" t="str">
        <f t="shared" si="4"/>
        <v>Mismatch</v>
      </c>
      <c r="K77" s="19">
        <v>10</v>
      </c>
      <c r="L77" s="22">
        <v>344.74</v>
      </c>
      <c r="M77" s="23">
        <v>0.15</v>
      </c>
      <c r="N77" s="25">
        <v>2930.29</v>
      </c>
      <c r="O77" t="s">
        <v>47</v>
      </c>
      <c r="P77" t="s">
        <v>48</v>
      </c>
      <c r="Q77" s="16">
        <v>45967</v>
      </c>
      <c r="R77">
        <v>5</v>
      </c>
      <c r="S77" t="str">
        <f t="shared" si="3"/>
        <v>YES</v>
      </c>
    </row>
    <row r="78" spans="1:19" x14ac:dyDescent="0.25">
      <c r="A78" t="s">
        <v>200</v>
      </c>
      <c r="B78" s="16">
        <v>45896</v>
      </c>
      <c r="C78" t="s">
        <v>201</v>
      </c>
      <c r="D78" t="s">
        <v>33</v>
      </c>
      <c r="E78" t="s">
        <v>34</v>
      </c>
      <c r="F78" t="s">
        <v>86</v>
      </c>
      <c r="G78" t="s">
        <v>28</v>
      </c>
      <c r="H78" t="s">
        <v>393</v>
      </c>
      <c r="I78" t="str">
        <f>VLOOKUP(H78,REPORT!$B$1:$C$4,2,FALSE)</f>
        <v>Beauty</v>
      </c>
      <c r="J78" t="str">
        <f t="shared" si="4"/>
        <v>Mismatch</v>
      </c>
      <c r="K78" s="19">
        <v>3</v>
      </c>
      <c r="L78" s="22">
        <v>46.19</v>
      </c>
      <c r="M78" s="23">
        <v>0.1</v>
      </c>
      <c r="N78" s="25">
        <v>124.71</v>
      </c>
      <c r="O78" t="s">
        <v>47</v>
      </c>
      <c r="P78" t="s">
        <v>48</v>
      </c>
      <c r="Q78" s="16">
        <v>45901</v>
      </c>
      <c r="R78">
        <v>5</v>
      </c>
      <c r="S78" t="str">
        <f t="shared" si="3"/>
        <v>YES</v>
      </c>
    </row>
    <row r="79" spans="1:19" x14ac:dyDescent="0.25">
      <c r="A79" t="s">
        <v>202</v>
      </c>
      <c r="B79" s="16">
        <v>45854</v>
      </c>
      <c r="C79" t="s">
        <v>106</v>
      </c>
      <c r="D79" t="s">
        <v>33</v>
      </c>
      <c r="E79" t="s">
        <v>34</v>
      </c>
      <c r="F79" t="s">
        <v>19</v>
      </c>
      <c r="G79" t="s">
        <v>64</v>
      </c>
      <c r="H79" t="s">
        <v>395</v>
      </c>
      <c r="I79" t="str">
        <f>VLOOKUP(H79,REPORT!$B$1:$C$4,2,FALSE)</f>
        <v>Fashion</v>
      </c>
      <c r="J79" t="str">
        <f t="shared" si="4"/>
        <v>Mismatch</v>
      </c>
      <c r="K79" s="19">
        <v>2</v>
      </c>
      <c r="L79" s="22">
        <v>126.23</v>
      </c>
      <c r="M79" s="23">
        <v>0.2</v>
      </c>
      <c r="N79" s="25">
        <v>201.97</v>
      </c>
      <c r="O79" t="s">
        <v>21</v>
      </c>
      <c r="P79" t="s">
        <v>30</v>
      </c>
      <c r="Q79" s="16">
        <v>45868</v>
      </c>
      <c r="R79">
        <v>3</v>
      </c>
      <c r="S79" t="str">
        <f t="shared" si="3"/>
        <v>YES</v>
      </c>
    </row>
    <row r="80" spans="1:19" x14ac:dyDescent="0.25">
      <c r="A80" t="s">
        <v>203</v>
      </c>
      <c r="B80" s="16">
        <v>46009</v>
      </c>
      <c r="C80" t="s">
        <v>117</v>
      </c>
      <c r="D80" t="s">
        <v>39</v>
      </c>
      <c r="E80" t="s">
        <v>40</v>
      </c>
      <c r="F80" t="s">
        <v>60</v>
      </c>
      <c r="G80" t="s">
        <v>46</v>
      </c>
      <c r="H80" t="s">
        <v>392</v>
      </c>
      <c r="I80" t="str">
        <f>VLOOKUP(H80,REPORT!$B$1:$C$4,2,FALSE)</f>
        <v>Electronics</v>
      </c>
      <c r="J80" t="str">
        <f t="shared" si="4"/>
        <v>Mismatch</v>
      </c>
      <c r="K80" s="19">
        <v>0</v>
      </c>
      <c r="L80" s="22">
        <v>375.13</v>
      </c>
      <c r="M80" s="23">
        <v>0.1</v>
      </c>
      <c r="N80" s="25">
        <v>0</v>
      </c>
      <c r="O80" t="s">
        <v>21</v>
      </c>
      <c r="P80" t="s">
        <v>69</v>
      </c>
      <c r="Q80" s="16">
        <v>46022</v>
      </c>
      <c r="R80">
        <v>2</v>
      </c>
      <c r="S80" t="str">
        <f t="shared" si="3"/>
        <v>YES</v>
      </c>
    </row>
    <row r="81" spans="1:19" x14ac:dyDescent="0.25">
      <c r="A81" t="s">
        <v>204</v>
      </c>
      <c r="B81" s="16">
        <v>46006</v>
      </c>
      <c r="C81" t="s">
        <v>205</v>
      </c>
      <c r="D81" t="s">
        <v>55</v>
      </c>
      <c r="E81" t="s">
        <v>26</v>
      </c>
      <c r="F81" t="s">
        <v>60</v>
      </c>
      <c r="G81" t="s">
        <v>20</v>
      </c>
      <c r="H81" t="s">
        <v>392</v>
      </c>
      <c r="I81" t="str">
        <f>VLOOKUP(H81,REPORT!$B$1:$C$4,2,FALSE)</f>
        <v>Electronics</v>
      </c>
      <c r="J81" t="str">
        <f t="shared" si="4"/>
        <v>Mismatch</v>
      </c>
      <c r="K81" s="19">
        <v>2</v>
      </c>
      <c r="L81" s="22">
        <v>452.67</v>
      </c>
      <c r="M81" s="23">
        <v>0</v>
      </c>
      <c r="N81" s="25">
        <v>905.34</v>
      </c>
      <c r="O81" t="s">
        <v>21</v>
      </c>
      <c r="P81" t="s">
        <v>30</v>
      </c>
      <c r="Q81" s="16">
        <v>46020</v>
      </c>
      <c r="R81">
        <v>3</v>
      </c>
      <c r="S81" t="str">
        <f t="shared" si="3"/>
        <v>YES</v>
      </c>
    </row>
    <row r="82" spans="1:19" x14ac:dyDescent="0.25">
      <c r="A82" t="s">
        <v>206</v>
      </c>
      <c r="B82" s="16">
        <v>45870</v>
      </c>
      <c r="C82" t="s">
        <v>207</v>
      </c>
      <c r="D82" t="s">
        <v>72</v>
      </c>
      <c r="E82" t="s">
        <v>44</v>
      </c>
      <c r="F82" t="s">
        <v>19</v>
      </c>
      <c r="G82" t="s">
        <v>20</v>
      </c>
      <c r="H82" t="s">
        <v>392</v>
      </c>
      <c r="I82" t="str">
        <f>VLOOKUP(H82,REPORT!$B$1:$C$4,2,FALSE)</f>
        <v>Electronics</v>
      </c>
      <c r="J82" t="str">
        <f t="shared" si="4"/>
        <v>Match</v>
      </c>
      <c r="K82" s="19">
        <v>3</v>
      </c>
      <c r="L82" s="22">
        <v>395.39</v>
      </c>
      <c r="M82" s="23">
        <v>0.1</v>
      </c>
      <c r="N82" s="25">
        <v>1067.55</v>
      </c>
      <c r="O82" t="s">
        <v>21</v>
      </c>
      <c r="P82" t="s">
        <v>81</v>
      </c>
      <c r="Q82" s="16">
        <v>45873</v>
      </c>
      <c r="S82" t="str">
        <f t="shared" si="3"/>
        <v>YES</v>
      </c>
    </row>
    <row r="83" spans="1:19" x14ac:dyDescent="0.25">
      <c r="A83" t="s">
        <v>208</v>
      </c>
      <c r="B83" s="16">
        <v>45897</v>
      </c>
      <c r="C83" t="s">
        <v>209</v>
      </c>
      <c r="D83" t="s">
        <v>39</v>
      </c>
      <c r="E83" t="s">
        <v>40</v>
      </c>
      <c r="F83" t="s">
        <v>27</v>
      </c>
      <c r="G83" t="s">
        <v>20</v>
      </c>
      <c r="H83" t="s">
        <v>392</v>
      </c>
      <c r="I83" t="str">
        <f>VLOOKUP(H83,REPORT!$B$1:$C$4,2,FALSE)</f>
        <v>Electronics</v>
      </c>
      <c r="J83" t="str">
        <f t="shared" si="4"/>
        <v>Mismatch</v>
      </c>
      <c r="K83" s="19">
        <v>4</v>
      </c>
      <c r="L83" s="22">
        <v>431.47</v>
      </c>
      <c r="M83" s="23">
        <v>0.15</v>
      </c>
      <c r="N83" s="25">
        <v>1467</v>
      </c>
      <c r="O83" t="s">
        <v>57</v>
      </c>
      <c r="P83" t="s">
        <v>61</v>
      </c>
      <c r="R83">
        <v>5</v>
      </c>
      <c r="S83" t="str">
        <f t="shared" si="3"/>
        <v>NO</v>
      </c>
    </row>
    <row r="84" spans="1:19" x14ac:dyDescent="0.25">
      <c r="A84" t="s">
        <v>210</v>
      </c>
      <c r="B84" s="16">
        <v>45876</v>
      </c>
      <c r="C84" t="s">
        <v>38</v>
      </c>
      <c r="D84" t="s">
        <v>51</v>
      </c>
      <c r="E84" t="s">
        <v>52</v>
      </c>
      <c r="F84" t="s">
        <v>19</v>
      </c>
      <c r="G84" t="s">
        <v>36</v>
      </c>
      <c r="H84" t="s">
        <v>394</v>
      </c>
      <c r="I84" t="str">
        <f>VLOOKUP(H84,REPORT!$B$1:$C$4,2,FALSE)</f>
        <v>Home &amp; Kitchen</v>
      </c>
      <c r="J84" t="str">
        <f t="shared" si="4"/>
        <v>Mismatch</v>
      </c>
      <c r="K84" s="19">
        <v>10</v>
      </c>
      <c r="L84" s="22">
        <v>196.7</v>
      </c>
      <c r="M84" s="23">
        <v>0.1</v>
      </c>
      <c r="N84" s="25">
        <v>1770.3</v>
      </c>
      <c r="O84" t="s">
        <v>65</v>
      </c>
      <c r="P84" t="s">
        <v>69</v>
      </c>
      <c r="Q84" s="16">
        <v>45857</v>
      </c>
      <c r="R84">
        <v>1</v>
      </c>
      <c r="S84" t="str">
        <f t="shared" si="3"/>
        <v>NO</v>
      </c>
    </row>
    <row r="85" spans="1:19" x14ac:dyDescent="0.25">
      <c r="A85" t="s">
        <v>211</v>
      </c>
      <c r="B85" s="16">
        <v>45989</v>
      </c>
      <c r="C85" t="s">
        <v>212</v>
      </c>
      <c r="D85" t="s">
        <v>72</v>
      </c>
      <c r="E85" t="s">
        <v>18</v>
      </c>
      <c r="F85" t="s">
        <v>19</v>
      </c>
      <c r="G85" t="s">
        <v>64</v>
      </c>
      <c r="H85" t="s">
        <v>395</v>
      </c>
      <c r="I85" t="str">
        <f>VLOOKUP(H85,REPORT!$B$1:$C$4,2,FALSE)</f>
        <v>Fashion</v>
      </c>
      <c r="J85" t="str">
        <f t="shared" si="4"/>
        <v>Mismatch</v>
      </c>
      <c r="K85" s="19">
        <v>5</v>
      </c>
      <c r="L85" s="22">
        <v>328.13</v>
      </c>
      <c r="M85" s="23">
        <v>0</v>
      </c>
      <c r="N85" s="25">
        <v>1640.65</v>
      </c>
      <c r="O85" t="s">
        <v>57</v>
      </c>
      <c r="P85" t="s">
        <v>61</v>
      </c>
      <c r="Q85" s="16">
        <v>45991</v>
      </c>
      <c r="R85">
        <v>2</v>
      </c>
      <c r="S85" t="str">
        <f t="shared" si="3"/>
        <v>YES</v>
      </c>
    </row>
    <row r="86" spans="1:19" x14ac:dyDescent="0.25">
      <c r="A86" t="s">
        <v>213</v>
      </c>
      <c r="B86" s="16">
        <v>45856</v>
      </c>
      <c r="C86" t="s">
        <v>386</v>
      </c>
      <c r="D86" t="s">
        <v>72</v>
      </c>
      <c r="E86" t="s">
        <v>44</v>
      </c>
      <c r="F86" t="s">
        <v>86</v>
      </c>
      <c r="G86" t="s">
        <v>36</v>
      </c>
      <c r="H86" t="s">
        <v>394</v>
      </c>
      <c r="I86" t="str">
        <f>VLOOKUP(H86,REPORT!$B$1:$C$4,2,FALSE)</f>
        <v>Home &amp; Kitchen</v>
      </c>
      <c r="J86" t="str">
        <f t="shared" si="4"/>
        <v>Match</v>
      </c>
      <c r="K86" s="19">
        <v>9</v>
      </c>
      <c r="L86" s="22">
        <v>215.37</v>
      </c>
      <c r="M86" s="23">
        <v>0.05</v>
      </c>
      <c r="N86" s="25">
        <v>1841.41</v>
      </c>
      <c r="O86" t="s">
        <v>65</v>
      </c>
      <c r="P86" t="s">
        <v>81</v>
      </c>
      <c r="Q86" s="16">
        <v>45864</v>
      </c>
      <c r="R86">
        <v>4</v>
      </c>
      <c r="S86" t="str">
        <f t="shared" si="3"/>
        <v>YES</v>
      </c>
    </row>
    <row r="87" spans="1:19" x14ac:dyDescent="0.25">
      <c r="A87" t="s">
        <v>214</v>
      </c>
      <c r="B87" s="16">
        <v>45769</v>
      </c>
      <c r="C87" t="s">
        <v>215</v>
      </c>
      <c r="D87" t="s">
        <v>39</v>
      </c>
      <c r="E87" t="s">
        <v>40</v>
      </c>
      <c r="F87" t="s">
        <v>86</v>
      </c>
      <c r="G87" t="s">
        <v>64</v>
      </c>
      <c r="H87" t="s">
        <v>395</v>
      </c>
      <c r="I87" t="str">
        <f>VLOOKUP(H87,REPORT!$B$1:$C$4,2,FALSE)</f>
        <v>Fashion</v>
      </c>
      <c r="J87" t="str">
        <f t="shared" si="4"/>
        <v>Mismatch</v>
      </c>
      <c r="K87" s="19">
        <v>4</v>
      </c>
      <c r="L87" s="22">
        <v>429.17</v>
      </c>
      <c r="M87" s="23">
        <v>0</v>
      </c>
      <c r="N87" s="25">
        <v>1716.68</v>
      </c>
      <c r="O87" t="s">
        <v>21</v>
      </c>
      <c r="P87" t="s">
        <v>61</v>
      </c>
      <c r="Q87" s="16">
        <v>45777</v>
      </c>
      <c r="R87">
        <v>3</v>
      </c>
      <c r="S87" t="str">
        <f t="shared" si="3"/>
        <v>YES</v>
      </c>
    </row>
    <row r="88" spans="1:19" x14ac:dyDescent="0.25">
      <c r="A88" t="s">
        <v>216</v>
      </c>
      <c r="B88" s="16">
        <v>45820</v>
      </c>
      <c r="C88" t="s">
        <v>141</v>
      </c>
      <c r="D88" t="s">
        <v>72</v>
      </c>
      <c r="E88" t="s">
        <v>91</v>
      </c>
      <c r="F88" t="s">
        <v>60</v>
      </c>
      <c r="G88" t="s">
        <v>28</v>
      </c>
      <c r="H88" t="s">
        <v>393</v>
      </c>
      <c r="I88" t="str">
        <f>VLOOKUP(H88,REPORT!$B$1:$C$4,2,FALSE)</f>
        <v>Beauty</v>
      </c>
      <c r="J88" t="str">
        <f t="shared" si="4"/>
        <v>Mismatch</v>
      </c>
      <c r="K88" s="19">
        <v>1</v>
      </c>
      <c r="L88" s="22">
        <v>34.78</v>
      </c>
      <c r="M88" s="23">
        <v>0.1</v>
      </c>
      <c r="N88" s="25">
        <v>31.3</v>
      </c>
      <c r="O88" t="s">
        <v>21</v>
      </c>
      <c r="P88" t="s">
        <v>61</v>
      </c>
      <c r="Q88" s="16">
        <v>46001</v>
      </c>
      <c r="R88">
        <v>2</v>
      </c>
      <c r="S88" t="str">
        <f t="shared" si="3"/>
        <v>YES</v>
      </c>
    </row>
    <row r="89" spans="1:19" x14ac:dyDescent="0.25">
      <c r="A89" t="s">
        <v>217</v>
      </c>
      <c r="B89" s="16">
        <v>45777</v>
      </c>
      <c r="C89" t="s">
        <v>388</v>
      </c>
      <c r="D89" t="s">
        <v>33</v>
      </c>
      <c r="E89" t="s">
        <v>34</v>
      </c>
      <c r="F89" t="s">
        <v>19</v>
      </c>
      <c r="G89" t="s">
        <v>20</v>
      </c>
      <c r="H89" t="s">
        <v>392</v>
      </c>
      <c r="I89" t="str">
        <f>VLOOKUP(H89,REPORT!$B$1:$C$4,2,FALSE)</f>
        <v>Electronics</v>
      </c>
      <c r="J89" t="str">
        <f t="shared" si="4"/>
        <v>Match</v>
      </c>
      <c r="K89" s="19">
        <v>10</v>
      </c>
      <c r="L89" s="22">
        <v>11.39</v>
      </c>
      <c r="M89" s="23">
        <v>0.05</v>
      </c>
      <c r="N89" s="25">
        <v>108.2</v>
      </c>
      <c r="O89" t="s">
        <v>21</v>
      </c>
      <c r="P89" t="s">
        <v>30</v>
      </c>
      <c r="Q89" s="16">
        <v>45783</v>
      </c>
      <c r="R89">
        <v>2</v>
      </c>
      <c r="S89" t="str">
        <f t="shared" si="3"/>
        <v>YES</v>
      </c>
    </row>
    <row r="90" spans="1:19" x14ac:dyDescent="0.25">
      <c r="A90" t="s">
        <v>219</v>
      </c>
      <c r="B90" s="16">
        <v>45693</v>
      </c>
      <c r="C90" t="s">
        <v>220</v>
      </c>
      <c r="D90" t="s">
        <v>55</v>
      </c>
      <c r="E90" t="s">
        <v>26</v>
      </c>
      <c r="F90" t="s">
        <v>19</v>
      </c>
      <c r="G90" t="s">
        <v>36</v>
      </c>
      <c r="H90" t="s">
        <v>394</v>
      </c>
      <c r="I90" t="str">
        <f>VLOOKUP(H90,REPORT!$B$1:$C$4,2,FALSE)</f>
        <v>Home &amp; Kitchen</v>
      </c>
      <c r="J90" t="str">
        <f t="shared" si="4"/>
        <v>Mismatch</v>
      </c>
      <c r="K90" s="19">
        <v>1</v>
      </c>
      <c r="L90" s="22">
        <v>95.38</v>
      </c>
      <c r="M90" s="23">
        <v>1.5</v>
      </c>
      <c r="N90" s="25">
        <v>-47.69</v>
      </c>
      <c r="O90" t="s">
        <v>47</v>
      </c>
      <c r="P90" t="s">
        <v>61</v>
      </c>
      <c r="Q90" s="16">
        <v>45789</v>
      </c>
      <c r="R90">
        <v>2</v>
      </c>
      <c r="S90" t="str">
        <f t="shared" si="3"/>
        <v>YES</v>
      </c>
    </row>
    <row r="91" spans="1:19" x14ac:dyDescent="0.25">
      <c r="A91" t="s">
        <v>221</v>
      </c>
      <c r="B91" s="16">
        <v>45961</v>
      </c>
      <c r="C91" t="s">
        <v>179</v>
      </c>
      <c r="D91" t="s">
        <v>33</v>
      </c>
      <c r="E91" t="s">
        <v>34</v>
      </c>
      <c r="F91" t="s">
        <v>60</v>
      </c>
      <c r="G91" t="s">
        <v>64</v>
      </c>
      <c r="H91" t="s">
        <v>395</v>
      </c>
      <c r="I91" t="str">
        <f>VLOOKUP(H91,REPORT!$B$1:$C$4,2,FALSE)</f>
        <v>Fashion</v>
      </c>
      <c r="J91" t="str">
        <f t="shared" si="4"/>
        <v>Match</v>
      </c>
      <c r="K91" s="19">
        <v>9</v>
      </c>
      <c r="L91" s="22">
        <v>118.56</v>
      </c>
      <c r="M91" s="23">
        <v>0.2</v>
      </c>
      <c r="N91" s="25">
        <v>853.63</v>
      </c>
      <c r="O91" t="s">
        <v>21</v>
      </c>
      <c r="P91" t="s">
        <v>61</v>
      </c>
      <c r="Q91" s="16">
        <v>45963</v>
      </c>
      <c r="R91">
        <v>1</v>
      </c>
      <c r="S91" t="str">
        <f t="shared" si="3"/>
        <v>YES</v>
      </c>
    </row>
    <row r="92" spans="1:19" x14ac:dyDescent="0.25">
      <c r="A92" t="s">
        <v>222</v>
      </c>
      <c r="B92" s="16">
        <v>46009</v>
      </c>
      <c r="C92" t="s">
        <v>224</v>
      </c>
      <c r="D92" t="s">
        <v>72</v>
      </c>
      <c r="E92" t="s">
        <v>18</v>
      </c>
      <c r="F92" t="s">
        <v>19</v>
      </c>
      <c r="G92" t="s">
        <v>64</v>
      </c>
      <c r="H92" t="s">
        <v>395</v>
      </c>
      <c r="I92" t="str">
        <f>VLOOKUP(H92,REPORT!$B$1:$C$4,2,FALSE)</f>
        <v>Fashion</v>
      </c>
      <c r="J92" t="str">
        <f t="shared" si="4"/>
        <v>Mismatch</v>
      </c>
      <c r="K92" s="19">
        <v>-2</v>
      </c>
      <c r="L92" s="22">
        <v>46.01</v>
      </c>
      <c r="M92" s="23">
        <v>0</v>
      </c>
      <c r="N92" s="25">
        <v>-92.02</v>
      </c>
      <c r="O92" t="s">
        <v>21</v>
      </c>
      <c r="P92" t="s">
        <v>69</v>
      </c>
      <c r="Q92" s="16">
        <v>46011</v>
      </c>
      <c r="R92">
        <v>3</v>
      </c>
      <c r="S92" t="str">
        <f t="shared" si="3"/>
        <v>YES</v>
      </c>
    </row>
    <row r="93" spans="1:19" x14ac:dyDescent="0.25">
      <c r="A93" t="s">
        <v>225</v>
      </c>
      <c r="B93" s="16">
        <v>45853</v>
      </c>
      <c r="C93" t="s">
        <v>139</v>
      </c>
      <c r="D93" t="s">
        <v>55</v>
      </c>
      <c r="E93" t="s">
        <v>26</v>
      </c>
      <c r="F93" t="s">
        <v>60</v>
      </c>
      <c r="G93" t="s">
        <v>28</v>
      </c>
      <c r="H93" t="s">
        <v>393</v>
      </c>
      <c r="I93" t="str">
        <f>VLOOKUP(H93,REPORT!$B$1:$C$4,2,FALSE)</f>
        <v>Beauty</v>
      </c>
      <c r="J93" t="str">
        <f t="shared" si="4"/>
        <v>Mismatch</v>
      </c>
      <c r="K93" s="19">
        <v>5</v>
      </c>
      <c r="L93" s="22">
        <v>232.32</v>
      </c>
      <c r="M93" s="23">
        <v>0.2</v>
      </c>
      <c r="N93" s="25">
        <v>929.28</v>
      </c>
      <c r="O93" t="s">
        <v>21</v>
      </c>
      <c r="P93" t="s">
        <v>30</v>
      </c>
      <c r="Q93" s="16">
        <v>45863</v>
      </c>
      <c r="R93">
        <v>4</v>
      </c>
      <c r="S93" t="str">
        <f t="shared" si="3"/>
        <v>YES</v>
      </c>
    </row>
    <row r="94" spans="1:19" x14ac:dyDescent="0.25">
      <c r="A94" t="s">
        <v>226</v>
      </c>
      <c r="B94" s="16">
        <v>45889</v>
      </c>
      <c r="C94" t="s">
        <v>320</v>
      </c>
      <c r="D94" t="s">
        <v>72</v>
      </c>
      <c r="E94" t="s">
        <v>44</v>
      </c>
      <c r="F94" t="s">
        <v>86</v>
      </c>
      <c r="G94" t="s">
        <v>64</v>
      </c>
      <c r="H94" t="s">
        <v>395</v>
      </c>
      <c r="I94" t="str">
        <f>VLOOKUP(H94,REPORT!$B$1:$C$4,2,FALSE)</f>
        <v>Fashion</v>
      </c>
      <c r="J94" t="str">
        <f t="shared" si="4"/>
        <v>Mismatch</v>
      </c>
      <c r="K94" s="19">
        <v>6</v>
      </c>
      <c r="L94" s="22">
        <v>415.44</v>
      </c>
      <c r="M94" s="23">
        <v>0.15</v>
      </c>
      <c r="N94" s="25">
        <v>2118.7399999999998</v>
      </c>
      <c r="O94" t="s">
        <v>21</v>
      </c>
      <c r="P94" t="s">
        <v>30</v>
      </c>
      <c r="Q94" s="16">
        <v>45893</v>
      </c>
      <c r="R94">
        <v>4</v>
      </c>
      <c r="S94" t="str">
        <f t="shared" si="3"/>
        <v>YES</v>
      </c>
    </row>
    <row r="95" spans="1:19" x14ac:dyDescent="0.25">
      <c r="A95" t="s">
        <v>228</v>
      </c>
      <c r="B95" s="16">
        <v>45749</v>
      </c>
      <c r="C95" t="s">
        <v>163</v>
      </c>
      <c r="D95" t="s">
        <v>33</v>
      </c>
      <c r="E95" t="s">
        <v>34</v>
      </c>
      <c r="F95" t="s">
        <v>60</v>
      </c>
      <c r="G95" t="s">
        <v>46</v>
      </c>
      <c r="H95" t="s">
        <v>392</v>
      </c>
      <c r="I95" t="str">
        <f>VLOOKUP(H95,REPORT!$B$1:$C$4,2,FALSE)</f>
        <v>Electronics</v>
      </c>
      <c r="J95" t="str">
        <f t="shared" si="4"/>
        <v>Mismatch</v>
      </c>
      <c r="K95" s="19">
        <v>2</v>
      </c>
      <c r="L95" s="22">
        <v>221.62</v>
      </c>
      <c r="M95" s="23">
        <v>0.1</v>
      </c>
      <c r="N95" s="25">
        <v>398.92</v>
      </c>
      <c r="O95" t="s">
        <v>65</v>
      </c>
      <c r="P95" t="s">
        <v>48</v>
      </c>
      <c r="Q95" s="16">
        <v>45694</v>
      </c>
      <c r="R95">
        <v>2</v>
      </c>
      <c r="S95" t="str">
        <f t="shared" si="3"/>
        <v>NO</v>
      </c>
    </row>
    <row r="96" spans="1:19" x14ac:dyDescent="0.25">
      <c r="A96" t="s">
        <v>229</v>
      </c>
      <c r="B96" s="16">
        <v>45785</v>
      </c>
      <c r="C96" t="s">
        <v>195</v>
      </c>
      <c r="D96" t="s">
        <v>51</v>
      </c>
      <c r="E96" t="s">
        <v>52</v>
      </c>
      <c r="F96" t="s">
        <v>60</v>
      </c>
      <c r="G96" t="s">
        <v>46</v>
      </c>
      <c r="H96" t="s">
        <v>392</v>
      </c>
      <c r="I96" t="str">
        <f>VLOOKUP(H96,REPORT!$B$1:$C$4,2,FALSE)</f>
        <v>Electronics</v>
      </c>
      <c r="J96" t="str">
        <f t="shared" si="4"/>
        <v>Mismatch</v>
      </c>
      <c r="K96" s="19">
        <v>5</v>
      </c>
      <c r="L96" s="22">
        <v>304.2</v>
      </c>
      <c r="M96" s="23">
        <v>0.1</v>
      </c>
      <c r="N96" s="25">
        <v>1368.9</v>
      </c>
      <c r="O96" t="s">
        <v>57</v>
      </c>
      <c r="P96" t="s">
        <v>61</v>
      </c>
      <c r="Q96" s="16">
        <v>45888</v>
      </c>
      <c r="R96">
        <v>1</v>
      </c>
      <c r="S96" t="str">
        <f t="shared" si="3"/>
        <v>YES</v>
      </c>
    </row>
    <row r="97" spans="1:19" x14ac:dyDescent="0.25">
      <c r="A97" t="s">
        <v>230</v>
      </c>
      <c r="B97" s="16">
        <v>45716</v>
      </c>
      <c r="C97" t="s">
        <v>135</v>
      </c>
      <c r="D97" t="s">
        <v>33</v>
      </c>
      <c r="E97" t="s">
        <v>34</v>
      </c>
      <c r="F97" t="s">
        <v>60</v>
      </c>
      <c r="G97" t="s">
        <v>36</v>
      </c>
      <c r="H97" t="s">
        <v>394</v>
      </c>
      <c r="I97" t="str">
        <f>VLOOKUP(H97,REPORT!$B$1:$C$4,2,FALSE)</f>
        <v>Home &amp; Kitchen</v>
      </c>
      <c r="J97" t="str">
        <f t="shared" si="4"/>
        <v>Mismatch</v>
      </c>
      <c r="K97" s="19">
        <v>10</v>
      </c>
      <c r="L97" s="22">
        <v>120.82</v>
      </c>
      <c r="M97" s="23">
        <v>0.15</v>
      </c>
      <c r="N97" s="25">
        <v>1026.97</v>
      </c>
      <c r="O97" t="s">
        <v>47</v>
      </c>
      <c r="P97" t="s">
        <v>48</v>
      </c>
      <c r="Q97" s="16">
        <v>45729</v>
      </c>
      <c r="R97">
        <v>5</v>
      </c>
      <c r="S97" t="str">
        <f t="shared" si="3"/>
        <v>YES</v>
      </c>
    </row>
    <row r="98" spans="1:19" x14ac:dyDescent="0.25">
      <c r="A98" t="s">
        <v>231</v>
      </c>
      <c r="B98" s="16">
        <v>45831</v>
      </c>
      <c r="C98" t="s">
        <v>232</v>
      </c>
      <c r="D98" t="s">
        <v>72</v>
      </c>
      <c r="E98" t="s">
        <v>91</v>
      </c>
      <c r="F98" t="s">
        <v>60</v>
      </c>
      <c r="G98" t="s">
        <v>46</v>
      </c>
      <c r="H98" t="s">
        <v>392</v>
      </c>
      <c r="I98" t="str">
        <f>VLOOKUP(H98,REPORT!$B$1:$C$4,2,FALSE)</f>
        <v>Electronics</v>
      </c>
      <c r="J98" t="str">
        <f t="shared" si="4"/>
        <v>Mismatch</v>
      </c>
      <c r="K98" s="19">
        <v>3</v>
      </c>
      <c r="L98" s="22">
        <v>436.23</v>
      </c>
      <c r="M98" s="23">
        <v>0.2</v>
      </c>
      <c r="N98" s="25">
        <v>1046.95</v>
      </c>
      <c r="O98" t="s">
        <v>47</v>
      </c>
      <c r="P98" t="s">
        <v>61</v>
      </c>
      <c r="Q98" s="16">
        <v>45837</v>
      </c>
      <c r="R98">
        <v>8</v>
      </c>
      <c r="S98" t="str">
        <f t="shared" ref="S98:S129" si="5">IF(B98&lt;=Q98,"YES","NO")</f>
        <v>YES</v>
      </c>
    </row>
    <row r="99" spans="1:19" x14ac:dyDescent="0.25">
      <c r="A99" t="s">
        <v>233</v>
      </c>
      <c r="B99" s="16">
        <v>45998</v>
      </c>
      <c r="C99" t="s">
        <v>93</v>
      </c>
      <c r="D99" t="s">
        <v>72</v>
      </c>
      <c r="E99" t="s">
        <v>18</v>
      </c>
      <c r="F99" t="s">
        <v>19</v>
      </c>
      <c r="G99" t="s">
        <v>64</v>
      </c>
      <c r="H99" t="s">
        <v>395</v>
      </c>
      <c r="I99" t="str">
        <f>VLOOKUP(H99,REPORT!$B$1:$C$4,2,FALSE)</f>
        <v>Fashion</v>
      </c>
      <c r="J99" t="str">
        <f t="shared" si="4"/>
        <v>Mismatch</v>
      </c>
      <c r="K99" s="19">
        <v>6</v>
      </c>
      <c r="L99" s="22">
        <v>87.13</v>
      </c>
      <c r="M99" s="23">
        <v>0.1</v>
      </c>
      <c r="N99" s="25">
        <v>470.5</v>
      </c>
      <c r="O99" t="s">
        <v>21</v>
      </c>
      <c r="P99" t="s">
        <v>69</v>
      </c>
      <c r="Q99" s="16">
        <v>45857</v>
      </c>
      <c r="R99">
        <v>3</v>
      </c>
      <c r="S99" t="str">
        <f t="shared" si="5"/>
        <v>NO</v>
      </c>
    </row>
    <row r="100" spans="1:19" x14ac:dyDescent="0.25">
      <c r="A100" t="s">
        <v>234</v>
      </c>
      <c r="B100" s="16">
        <v>45884</v>
      </c>
      <c r="C100" t="s">
        <v>16</v>
      </c>
      <c r="D100" t="s">
        <v>51</v>
      </c>
      <c r="E100" t="s">
        <v>52</v>
      </c>
      <c r="F100" t="s">
        <v>60</v>
      </c>
      <c r="G100" t="s">
        <v>64</v>
      </c>
      <c r="H100" t="s">
        <v>395</v>
      </c>
      <c r="I100" t="str">
        <f>VLOOKUP(H100,REPORT!$B$1:$C$4,2,FALSE)</f>
        <v>Fashion</v>
      </c>
      <c r="J100" t="str">
        <f t="shared" si="4"/>
        <v>Match</v>
      </c>
      <c r="K100" s="19">
        <v>8</v>
      </c>
      <c r="L100" s="22">
        <v>307.47000000000003</v>
      </c>
      <c r="M100" s="23">
        <v>0.15</v>
      </c>
      <c r="N100" s="25">
        <v>2090.8000000000002</v>
      </c>
      <c r="O100" t="s">
        <v>21</v>
      </c>
      <c r="P100" t="s">
        <v>48</v>
      </c>
      <c r="Q100" s="16">
        <v>45895</v>
      </c>
      <c r="R100">
        <v>3</v>
      </c>
      <c r="S100" t="str">
        <f t="shared" si="5"/>
        <v>YES</v>
      </c>
    </row>
    <row r="101" spans="1:19" x14ac:dyDescent="0.25">
      <c r="A101" t="s">
        <v>235</v>
      </c>
      <c r="B101" s="16">
        <v>45658</v>
      </c>
      <c r="C101" t="s">
        <v>207</v>
      </c>
      <c r="D101" t="s">
        <v>72</v>
      </c>
      <c r="E101" t="s">
        <v>91</v>
      </c>
      <c r="F101" t="s">
        <v>19</v>
      </c>
      <c r="G101" t="s">
        <v>36</v>
      </c>
      <c r="H101" t="s">
        <v>394</v>
      </c>
      <c r="I101" t="str">
        <f>VLOOKUP(H101,REPORT!$B$1:$C$4,2,FALSE)</f>
        <v>Home &amp; Kitchen</v>
      </c>
      <c r="J101" t="str">
        <f t="shared" si="4"/>
        <v>Mismatch</v>
      </c>
      <c r="K101" s="19">
        <v>1</v>
      </c>
      <c r="L101" s="22">
        <v>118.05</v>
      </c>
      <c r="M101" s="23">
        <v>0.2</v>
      </c>
      <c r="N101" s="25">
        <v>94.44</v>
      </c>
      <c r="O101" t="s">
        <v>21</v>
      </c>
      <c r="P101" t="s">
        <v>61</v>
      </c>
      <c r="Q101" s="16">
        <v>45916</v>
      </c>
      <c r="R101">
        <v>1</v>
      </c>
      <c r="S101" t="str">
        <f t="shared" si="5"/>
        <v>YES</v>
      </c>
    </row>
    <row r="102" spans="1:19" x14ac:dyDescent="0.25">
      <c r="A102" t="s">
        <v>236</v>
      </c>
      <c r="B102" s="16">
        <v>45661</v>
      </c>
      <c r="C102" t="s">
        <v>237</v>
      </c>
      <c r="D102" t="s">
        <v>39</v>
      </c>
      <c r="E102" t="s">
        <v>40</v>
      </c>
      <c r="F102" t="s">
        <v>86</v>
      </c>
      <c r="G102" t="s">
        <v>64</v>
      </c>
      <c r="H102" t="s">
        <v>395</v>
      </c>
      <c r="I102" t="str">
        <f>VLOOKUP(H102,REPORT!$B$1:$C$4,2,FALSE)</f>
        <v>Fashion</v>
      </c>
      <c r="J102" t="str">
        <f t="shared" si="4"/>
        <v>Mismatch</v>
      </c>
      <c r="K102" s="19">
        <v>3</v>
      </c>
      <c r="L102" s="22">
        <v>73.3</v>
      </c>
      <c r="M102" s="23">
        <v>0.2</v>
      </c>
      <c r="N102" s="25">
        <v>175.92</v>
      </c>
      <c r="O102" t="s">
        <v>47</v>
      </c>
      <c r="P102" t="s">
        <v>61</v>
      </c>
      <c r="Q102" s="16">
        <v>45658</v>
      </c>
      <c r="S102" t="str">
        <f t="shared" si="5"/>
        <v>NO</v>
      </c>
    </row>
    <row r="103" spans="1:19" x14ac:dyDescent="0.25">
      <c r="A103" t="s">
        <v>238</v>
      </c>
      <c r="B103" s="16">
        <v>45936</v>
      </c>
      <c r="C103" t="s">
        <v>239</v>
      </c>
      <c r="D103" t="s">
        <v>51</v>
      </c>
      <c r="E103" t="s">
        <v>52</v>
      </c>
      <c r="F103" t="s">
        <v>19</v>
      </c>
      <c r="G103" t="s">
        <v>64</v>
      </c>
      <c r="H103" t="s">
        <v>395</v>
      </c>
      <c r="I103" t="str">
        <f>VLOOKUP(H103,REPORT!$B$1:$C$4,2,FALSE)</f>
        <v>Fashion</v>
      </c>
      <c r="J103" t="str">
        <f t="shared" si="4"/>
        <v>Mismatch</v>
      </c>
      <c r="K103" s="19">
        <v>10</v>
      </c>
      <c r="L103" s="22">
        <v>208.17</v>
      </c>
      <c r="M103" s="23">
        <v>0.15</v>
      </c>
      <c r="N103" s="25">
        <v>1769.44</v>
      </c>
      <c r="O103" t="s">
        <v>21</v>
      </c>
      <c r="P103" t="s">
        <v>61</v>
      </c>
      <c r="Q103" s="16">
        <v>45828</v>
      </c>
      <c r="R103">
        <v>3</v>
      </c>
      <c r="S103" t="str">
        <f t="shared" si="5"/>
        <v>NO</v>
      </c>
    </row>
    <row r="104" spans="1:19" x14ac:dyDescent="0.25">
      <c r="A104" t="s">
        <v>240</v>
      </c>
      <c r="B104" s="16">
        <v>45703</v>
      </c>
      <c r="C104" t="s">
        <v>241</v>
      </c>
      <c r="D104" t="s">
        <v>51</v>
      </c>
      <c r="E104" t="s">
        <v>52</v>
      </c>
      <c r="F104" t="s">
        <v>27</v>
      </c>
      <c r="G104" t="s">
        <v>46</v>
      </c>
      <c r="H104" t="s">
        <v>392</v>
      </c>
      <c r="I104" t="str">
        <f>VLOOKUP(H104,REPORT!$B$1:$C$4,2,FALSE)</f>
        <v>Electronics</v>
      </c>
      <c r="J104" t="str">
        <f t="shared" si="4"/>
        <v>Mismatch</v>
      </c>
      <c r="K104" s="19">
        <v>4</v>
      </c>
      <c r="L104" s="22">
        <v>223.48</v>
      </c>
      <c r="M104" s="23">
        <v>0.15</v>
      </c>
      <c r="N104" s="25">
        <v>759.83</v>
      </c>
      <c r="O104" t="s">
        <v>21</v>
      </c>
      <c r="P104" t="s">
        <v>30</v>
      </c>
      <c r="Q104" s="16">
        <v>45710</v>
      </c>
      <c r="R104">
        <v>5</v>
      </c>
      <c r="S104" t="str">
        <f t="shared" si="5"/>
        <v>YES</v>
      </c>
    </row>
    <row r="105" spans="1:19" x14ac:dyDescent="0.25">
      <c r="A105" t="s">
        <v>242</v>
      </c>
      <c r="B105" s="16">
        <v>45902</v>
      </c>
      <c r="C105" t="s">
        <v>155</v>
      </c>
      <c r="D105" t="s">
        <v>72</v>
      </c>
      <c r="E105" t="s">
        <v>91</v>
      </c>
      <c r="F105" t="s">
        <v>19</v>
      </c>
      <c r="G105" t="s">
        <v>46</v>
      </c>
      <c r="H105" t="s">
        <v>392</v>
      </c>
      <c r="I105" t="str">
        <f>VLOOKUP(H105,REPORT!$B$1:$C$4,2,FALSE)</f>
        <v>Electronics</v>
      </c>
      <c r="J105" t="str">
        <f t="shared" si="4"/>
        <v>Match</v>
      </c>
      <c r="K105" s="19">
        <v>9</v>
      </c>
      <c r="L105" s="22">
        <v>259.88</v>
      </c>
      <c r="M105" s="23">
        <v>0.1</v>
      </c>
      <c r="N105" s="25">
        <v>2105.0300000000002</v>
      </c>
      <c r="O105" t="s">
        <v>21</v>
      </c>
      <c r="P105" t="s">
        <v>48</v>
      </c>
      <c r="Q105" s="16">
        <v>45706</v>
      </c>
      <c r="R105">
        <v>3</v>
      </c>
      <c r="S105" t="str">
        <f t="shared" si="5"/>
        <v>NO</v>
      </c>
    </row>
    <row r="106" spans="1:19" x14ac:dyDescent="0.25">
      <c r="A106" t="s">
        <v>243</v>
      </c>
      <c r="B106" s="16">
        <v>45993</v>
      </c>
      <c r="C106" t="s">
        <v>244</v>
      </c>
      <c r="D106" t="s">
        <v>55</v>
      </c>
      <c r="E106" t="s">
        <v>26</v>
      </c>
      <c r="F106" t="s">
        <v>60</v>
      </c>
      <c r="G106" t="s">
        <v>20</v>
      </c>
      <c r="H106" t="s">
        <v>392</v>
      </c>
      <c r="I106" t="str">
        <f>VLOOKUP(H106,REPORT!$B$1:$C$4,2,FALSE)</f>
        <v>Electronics</v>
      </c>
      <c r="J106" t="str">
        <f t="shared" si="4"/>
        <v>Mismatch</v>
      </c>
      <c r="K106" s="19">
        <v>0</v>
      </c>
      <c r="L106" s="22">
        <v>237.34</v>
      </c>
      <c r="M106" s="23">
        <v>0.2</v>
      </c>
      <c r="N106" s="25">
        <v>0</v>
      </c>
      <c r="O106" t="s">
        <v>47</v>
      </c>
      <c r="P106" t="s">
        <v>30</v>
      </c>
      <c r="Q106" s="16">
        <v>45995</v>
      </c>
      <c r="R106">
        <v>5</v>
      </c>
      <c r="S106" t="str">
        <f t="shared" si="5"/>
        <v>YES</v>
      </c>
    </row>
    <row r="107" spans="1:19" x14ac:dyDescent="0.25">
      <c r="A107" t="s">
        <v>245</v>
      </c>
      <c r="B107" s="16">
        <v>45735</v>
      </c>
      <c r="C107" t="s">
        <v>246</v>
      </c>
      <c r="D107" t="s">
        <v>72</v>
      </c>
      <c r="E107" t="s">
        <v>44</v>
      </c>
      <c r="F107" t="s">
        <v>60</v>
      </c>
      <c r="G107" t="s">
        <v>46</v>
      </c>
      <c r="H107" t="s">
        <v>392</v>
      </c>
      <c r="I107" t="str">
        <f>VLOOKUP(H107,REPORT!$B$1:$C$4,2,FALSE)</f>
        <v>Electronics</v>
      </c>
      <c r="J107" t="str">
        <f t="shared" si="4"/>
        <v>Mismatch</v>
      </c>
      <c r="K107" s="19">
        <v>8</v>
      </c>
      <c r="L107" s="22">
        <v>226.68</v>
      </c>
      <c r="M107" s="23">
        <v>0.1</v>
      </c>
      <c r="N107" s="25">
        <v>1632.1</v>
      </c>
      <c r="O107" t="s">
        <v>21</v>
      </c>
      <c r="P107" t="s">
        <v>48</v>
      </c>
      <c r="Q107" s="16">
        <v>45743</v>
      </c>
      <c r="R107">
        <v>3</v>
      </c>
      <c r="S107" t="str">
        <f t="shared" si="5"/>
        <v>YES</v>
      </c>
    </row>
    <row r="108" spans="1:19" x14ac:dyDescent="0.25">
      <c r="A108" t="s">
        <v>247</v>
      </c>
      <c r="B108" s="16">
        <v>45876</v>
      </c>
      <c r="C108" t="s">
        <v>248</v>
      </c>
      <c r="D108" t="s">
        <v>55</v>
      </c>
      <c r="E108" t="s">
        <v>26</v>
      </c>
      <c r="F108" t="s">
        <v>60</v>
      </c>
      <c r="G108" t="s">
        <v>36</v>
      </c>
      <c r="H108" t="s">
        <v>394</v>
      </c>
      <c r="I108" t="str">
        <f>VLOOKUP(H108,REPORT!$B$1:$C$4,2,FALSE)</f>
        <v>Home &amp; Kitchen</v>
      </c>
      <c r="J108" t="str">
        <f t="shared" si="4"/>
        <v>Mismatch</v>
      </c>
      <c r="K108" s="19">
        <v>2</v>
      </c>
      <c r="L108" s="22">
        <v>325.89</v>
      </c>
      <c r="M108" s="23">
        <v>0</v>
      </c>
      <c r="N108" s="25">
        <v>651.78</v>
      </c>
      <c r="O108" t="s">
        <v>65</v>
      </c>
      <c r="P108" t="s">
        <v>30</v>
      </c>
      <c r="Q108" s="16">
        <v>45860</v>
      </c>
      <c r="R108">
        <v>5</v>
      </c>
      <c r="S108" t="str">
        <f t="shared" si="5"/>
        <v>NO</v>
      </c>
    </row>
    <row r="109" spans="1:19" x14ac:dyDescent="0.25">
      <c r="A109" t="s">
        <v>249</v>
      </c>
      <c r="B109" s="16">
        <v>45842</v>
      </c>
      <c r="C109" t="s">
        <v>250</v>
      </c>
      <c r="D109" t="s">
        <v>72</v>
      </c>
      <c r="E109" t="s">
        <v>18</v>
      </c>
      <c r="F109" t="s">
        <v>27</v>
      </c>
      <c r="G109" t="s">
        <v>28</v>
      </c>
      <c r="H109" t="s">
        <v>393</v>
      </c>
      <c r="I109" t="str">
        <f>VLOOKUP(H109,REPORT!$B$1:$C$4,2,FALSE)</f>
        <v>Beauty</v>
      </c>
      <c r="J109" t="str">
        <f t="shared" si="4"/>
        <v>Match</v>
      </c>
      <c r="K109" s="19">
        <v>8</v>
      </c>
      <c r="L109" s="22">
        <v>255.67</v>
      </c>
      <c r="M109" s="23">
        <v>0</v>
      </c>
      <c r="N109" s="25">
        <v>2045.36</v>
      </c>
      <c r="O109" t="s">
        <v>21</v>
      </c>
      <c r="P109" t="s">
        <v>30</v>
      </c>
      <c r="Q109" s="16">
        <v>45760</v>
      </c>
      <c r="R109">
        <v>4</v>
      </c>
      <c r="S109" t="str">
        <f t="shared" si="5"/>
        <v>NO</v>
      </c>
    </row>
    <row r="110" spans="1:19" x14ac:dyDescent="0.25">
      <c r="A110" t="s">
        <v>251</v>
      </c>
      <c r="B110" s="16">
        <v>45678</v>
      </c>
      <c r="C110" t="s">
        <v>252</v>
      </c>
      <c r="D110" t="s">
        <v>39</v>
      </c>
      <c r="E110" t="s">
        <v>40</v>
      </c>
      <c r="F110" t="s">
        <v>19</v>
      </c>
      <c r="G110" t="s">
        <v>64</v>
      </c>
      <c r="H110" t="s">
        <v>395</v>
      </c>
      <c r="I110" t="str">
        <f>VLOOKUP(H110,REPORT!$B$1:$C$4,2,FALSE)</f>
        <v>Fashion</v>
      </c>
      <c r="J110" t="str">
        <f t="shared" si="4"/>
        <v>Mismatch</v>
      </c>
      <c r="K110" s="19">
        <v>-2</v>
      </c>
      <c r="L110" s="22">
        <v>266.79000000000002</v>
      </c>
      <c r="M110" s="23">
        <v>0.2</v>
      </c>
      <c r="N110" s="25">
        <v>-426.86</v>
      </c>
      <c r="O110" t="s">
        <v>57</v>
      </c>
      <c r="P110" t="s">
        <v>81</v>
      </c>
      <c r="R110">
        <v>2</v>
      </c>
      <c r="S110" t="str">
        <f t="shared" si="5"/>
        <v>NO</v>
      </c>
    </row>
    <row r="111" spans="1:19" x14ac:dyDescent="0.25">
      <c r="A111" t="s">
        <v>253</v>
      </c>
      <c r="B111" s="16">
        <v>45981</v>
      </c>
      <c r="C111" t="s">
        <v>254</v>
      </c>
      <c r="D111" t="s">
        <v>33</v>
      </c>
      <c r="E111" t="s">
        <v>34</v>
      </c>
      <c r="F111" t="s">
        <v>60</v>
      </c>
      <c r="G111" t="s">
        <v>36</v>
      </c>
      <c r="H111" t="s">
        <v>394</v>
      </c>
      <c r="I111" t="str">
        <f>VLOOKUP(H111,REPORT!$B$1:$C$4,2,FALSE)</f>
        <v>Home &amp; Kitchen</v>
      </c>
      <c r="J111" t="str">
        <f t="shared" si="4"/>
        <v>Mismatch</v>
      </c>
      <c r="K111" s="19">
        <v>2</v>
      </c>
      <c r="L111" s="22">
        <v>171.55</v>
      </c>
      <c r="M111" s="23">
        <v>0.2</v>
      </c>
      <c r="N111" s="25">
        <v>274.48</v>
      </c>
      <c r="O111" t="s">
        <v>47</v>
      </c>
      <c r="P111" t="s">
        <v>69</v>
      </c>
      <c r="Q111" s="16">
        <v>45992</v>
      </c>
      <c r="R111">
        <v>4</v>
      </c>
      <c r="S111" t="str">
        <f t="shared" si="5"/>
        <v>YES</v>
      </c>
    </row>
    <row r="112" spans="1:19" x14ac:dyDescent="0.25">
      <c r="A112" t="s">
        <v>255</v>
      </c>
      <c r="B112" s="16">
        <v>45997</v>
      </c>
      <c r="C112" t="s">
        <v>161</v>
      </c>
      <c r="D112" t="s">
        <v>72</v>
      </c>
      <c r="E112" t="s">
        <v>44</v>
      </c>
      <c r="F112" t="s">
        <v>60</v>
      </c>
      <c r="G112" t="s">
        <v>36</v>
      </c>
      <c r="H112" t="s">
        <v>394</v>
      </c>
      <c r="I112" t="str">
        <f>VLOOKUP(H112,REPORT!$B$1:$C$4,2,FALSE)</f>
        <v>Home &amp; Kitchen</v>
      </c>
      <c r="J112" t="str">
        <f t="shared" si="4"/>
        <v>Mismatch</v>
      </c>
      <c r="K112" s="19">
        <v>5</v>
      </c>
      <c r="L112" s="22">
        <v>484.17</v>
      </c>
      <c r="M112" s="23">
        <v>1.5</v>
      </c>
      <c r="N112" s="25">
        <v>-1210.42</v>
      </c>
      <c r="O112" t="s">
        <v>57</v>
      </c>
      <c r="P112" t="s">
        <v>30</v>
      </c>
      <c r="Q112" s="16">
        <v>46000</v>
      </c>
      <c r="R112">
        <v>2</v>
      </c>
      <c r="S112" t="str">
        <f t="shared" si="5"/>
        <v>YES</v>
      </c>
    </row>
    <row r="113" spans="1:19" x14ac:dyDescent="0.25">
      <c r="A113" t="s">
        <v>256</v>
      </c>
      <c r="B113" s="16">
        <v>46017</v>
      </c>
      <c r="C113" t="s">
        <v>257</v>
      </c>
      <c r="D113" t="s">
        <v>39</v>
      </c>
      <c r="E113" t="s">
        <v>40</v>
      </c>
      <c r="F113" t="s">
        <v>19</v>
      </c>
      <c r="G113" t="s">
        <v>28</v>
      </c>
      <c r="H113" t="s">
        <v>393</v>
      </c>
      <c r="I113" t="str">
        <f>VLOOKUP(H113,REPORT!$B$1:$C$4,2,FALSE)</f>
        <v>Beauty</v>
      </c>
      <c r="J113" t="str">
        <f t="shared" si="4"/>
        <v>Mismatch</v>
      </c>
      <c r="K113" s="19">
        <v>2</v>
      </c>
      <c r="L113" s="22">
        <v>326.55</v>
      </c>
      <c r="M113" s="23">
        <v>0.15</v>
      </c>
      <c r="N113" s="25">
        <v>555.13</v>
      </c>
      <c r="O113" t="s">
        <v>21</v>
      </c>
      <c r="P113" t="s">
        <v>61</v>
      </c>
      <c r="Q113" s="16">
        <v>46031</v>
      </c>
      <c r="R113">
        <v>5</v>
      </c>
      <c r="S113" t="str">
        <f t="shared" si="5"/>
        <v>YES</v>
      </c>
    </row>
    <row r="114" spans="1:19" x14ac:dyDescent="0.25">
      <c r="A114" t="s">
        <v>258</v>
      </c>
      <c r="B114" s="16">
        <v>45773</v>
      </c>
      <c r="C114" t="s">
        <v>386</v>
      </c>
      <c r="D114" t="s">
        <v>72</v>
      </c>
      <c r="E114" t="s">
        <v>18</v>
      </c>
      <c r="F114" t="s">
        <v>19</v>
      </c>
      <c r="G114" t="s">
        <v>20</v>
      </c>
      <c r="H114" t="s">
        <v>392</v>
      </c>
      <c r="I114" t="str">
        <f>VLOOKUP(H114,REPORT!$B$1:$C$4,2,FALSE)</f>
        <v>Electronics</v>
      </c>
      <c r="J114" t="str">
        <f t="shared" si="4"/>
        <v>Match</v>
      </c>
      <c r="K114" s="19">
        <v>2</v>
      </c>
      <c r="L114" s="22">
        <v>154.94</v>
      </c>
      <c r="M114" s="23">
        <v>0</v>
      </c>
      <c r="N114" s="25">
        <v>309.88</v>
      </c>
      <c r="O114" t="s">
        <v>65</v>
      </c>
      <c r="P114" t="s">
        <v>61</v>
      </c>
      <c r="Q114" s="16">
        <v>45776</v>
      </c>
      <c r="R114">
        <v>5</v>
      </c>
      <c r="S114" t="str">
        <f t="shared" si="5"/>
        <v>YES</v>
      </c>
    </row>
    <row r="115" spans="1:19" x14ac:dyDescent="0.25">
      <c r="A115" t="s">
        <v>259</v>
      </c>
      <c r="B115" s="16">
        <v>45720</v>
      </c>
      <c r="C115" t="s">
        <v>260</v>
      </c>
      <c r="D115" t="s">
        <v>39</v>
      </c>
      <c r="E115" t="s">
        <v>40</v>
      </c>
      <c r="F115" t="s">
        <v>60</v>
      </c>
      <c r="G115" t="s">
        <v>28</v>
      </c>
      <c r="H115" t="s">
        <v>393</v>
      </c>
      <c r="I115" t="str">
        <f>VLOOKUP(H115,REPORT!$B$1:$C$4,2,FALSE)</f>
        <v>Beauty</v>
      </c>
      <c r="J115" t="str">
        <f t="shared" si="4"/>
        <v>Mismatch</v>
      </c>
      <c r="K115" s="19">
        <v>3</v>
      </c>
      <c r="L115" s="22">
        <v>363.38</v>
      </c>
      <c r="M115" s="23">
        <v>0</v>
      </c>
      <c r="N115" s="25">
        <v>1090.1400000000001</v>
      </c>
      <c r="O115" t="s">
        <v>21</v>
      </c>
      <c r="P115" t="s">
        <v>81</v>
      </c>
      <c r="Q115" s="16">
        <v>45764</v>
      </c>
      <c r="R115">
        <v>4</v>
      </c>
      <c r="S115" t="str">
        <f t="shared" si="5"/>
        <v>YES</v>
      </c>
    </row>
    <row r="116" spans="1:19" x14ac:dyDescent="0.25">
      <c r="A116" t="s">
        <v>261</v>
      </c>
      <c r="B116" s="16">
        <v>45777</v>
      </c>
      <c r="C116" t="s">
        <v>262</v>
      </c>
      <c r="D116" t="s">
        <v>39</v>
      </c>
      <c r="E116" t="s">
        <v>40</v>
      </c>
      <c r="F116" t="s">
        <v>60</v>
      </c>
      <c r="G116" t="s">
        <v>20</v>
      </c>
      <c r="H116" t="s">
        <v>392</v>
      </c>
      <c r="I116" t="str">
        <f>VLOOKUP(H116,REPORT!$B$1:$C$4,2,FALSE)</f>
        <v>Electronics</v>
      </c>
      <c r="J116" t="str">
        <f t="shared" si="4"/>
        <v>Mismatch</v>
      </c>
      <c r="K116" s="19">
        <v>5</v>
      </c>
      <c r="L116" s="22">
        <v>483.14</v>
      </c>
      <c r="M116" s="23">
        <v>0.15</v>
      </c>
      <c r="N116" s="25">
        <v>2053.34</v>
      </c>
      <c r="O116" t="s">
        <v>57</v>
      </c>
      <c r="P116" t="s">
        <v>81</v>
      </c>
      <c r="Q116" s="16">
        <v>45786</v>
      </c>
      <c r="R116">
        <v>2</v>
      </c>
      <c r="S116" t="str">
        <f t="shared" si="5"/>
        <v>YES</v>
      </c>
    </row>
    <row r="117" spans="1:19" x14ac:dyDescent="0.25">
      <c r="A117" t="s">
        <v>263</v>
      </c>
      <c r="B117" s="16">
        <v>45928</v>
      </c>
      <c r="C117" t="s">
        <v>389</v>
      </c>
      <c r="D117" t="s">
        <v>72</v>
      </c>
      <c r="E117" t="s">
        <v>91</v>
      </c>
      <c r="F117" t="s">
        <v>86</v>
      </c>
      <c r="G117" t="s">
        <v>20</v>
      </c>
      <c r="H117" t="s">
        <v>392</v>
      </c>
      <c r="I117" t="str">
        <f>VLOOKUP(H117,REPORT!$B$1:$C$4,2,FALSE)</f>
        <v>Electronics</v>
      </c>
      <c r="J117" t="str">
        <f t="shared" si="4"/>
        <v>Mismatch</v>
      </c>
      <c r="K117" s="19">
        <v>4</v>
      </c>
      <c r="L117" s="22">
        <v>402.62</v>
      </c>
      <c r="M117" s="23">
        <v>0.05</v>
      </c>
      <c r="N117" s="25">
        <v>1529.96</v>
      </c>
      <c r="O117" t="s">
        <v>21</v>
      </c>
      <c r="P117" t="s">
        <v>69</v>
      </c>
      <c r="Q117" s="16">
        <v>45935</v>
      </c>
      <c r="R117">
        <v>3</v>
      </c>
      <c r="S117" t="str">
        <f t="shared" si="5"/>
        <v>YES</v>
      </c>
    </row>
    <row r="118" spans="1:19" x14ac:dyDescent="0.25">
      <c r="A118" t="s">
        <v>265</v>
      </c>
      <c r="B118" s="16">
        <v>45803</v>
      </c>
      <c r="C118" t="s">
        <v>93</v>
      </c>
      <c r="D118" t="s">
        <v>55</v>
      </c>
      <c r="E118" t="s">
        <v>26</v>
      </c>
      <c r="F118" t="s">
        <v>19</v>
      </c>
      <c r="G118" t="s">
        <v>20</v>
      </c>
      <c r="H118" t="s">
        <v>392</v>
      </c>
      <c r="I118" t="str">
        <f>VLOOKUP(H118,REPORT!$B$1:$C$4,2,FALSE)</f>
        <v>Electronics</v>
      </c>
      <c r="J118" t="str">
        <f t="shared" si="4"/>
        <v>Match</v>
      </c>
      <c r="K118" s="19">
        <v>5</v>
      </c>
      <c r="L118" s="22">
        <v>230.17</v>
      </c>
      <c r="M118" s="23">
        <v>0.2</v>
      </c>
      <c r="N118" s="25">
        <v>920.68</v>
      </c>
      <c r="O118" t="s">
        <v>57</v>
      </c>
      <c r="P118" t="s">
        <v>48</v>
      </c>
      <c r="Q118" s="16">
        <v>45805</v>
      </c>
      <c r="R118">
        <v>2</v>
      </c>
      <c r="S118" t="str">
        <f t="shared" si="5"/>
        <v>YES</v>
      </c>
    </row>
    <row r="119" spans="1:19" x14ac:dyDescent="0.25">
      <c r="A119" t="s">
        <v>267</v>
      </c>
      <c r="B119" s="16">
        <v>45915</v>
      </c>
      <c r="C119" t="s">
        <v>268</v>
      </c>
      <c r="D119" t="s">
        <v>72</v>
      </c>
      <c r="E119" t="s">
        <v>44</v>
      </c>
      <c r="F119" t="s">
        <v>19</v>
      </c>
      <c r="G119" t="s">
        <v>20</v>
      </c>
      <c r="H119" t="s">
        <v>392</v>
      </c>
      <c r="I119" t="str">
        <f>VLOOKUP(H119,REPORT!$B$1:$C$4,2,FALSE)</f>
        <v>Electronics</v>
      </c>
      <c r="J119" t="str">
        <f t="shared" si="4"/>
        <v>Match</v>
      </c>
      <c r="K119" s="19">
        <v>7</v>
      </c>
      <c r="L119" s="22">
        <v>497.32</v>
      </c>
      <c r="M119" s="23">
        <v>0.1</v>
      </c>
      <c r="N119" s="25">
        <v>3133.12</v>
      </c>
      <c r="O119" t="s">
        <v>47</v>
      </c>
      <c r="P119" t="s">
        <v>30</v>
      </c>
      <c r="Q119" s="16">
        <v>45921</v>
      </c>
      <c r="R119">
        <v>2</v>
      </c>
      <c r="S119" t="str">
        <f t="shared" si="5"/>
        <v>YES</v>
      </c>
    </row>
    <row r="120" spans="1:19" x14ac:dyDescent="0.25">
      <c r="A120" t="s">
        <v>269</v>
      </c>
      <c r="B120" s="16">
        <v>45677</v>
      </c>
      <c r="C120" t="s">
        <v>270</v>
      </c>
      <c r="D120" t="s">
        <v>72</v>
      </c>
      <c r="E120" t="s">
        <v>18</v>
      </c>
      <c r="F120" t="s">
        <v>19</v>
      </c>
      <c r="G120" t="s">
        <v>64</v>
      </c>
      <c r="H120" t="s">
        <v>395</v>
      </c>
      <c r="I120" t="str">
        <f>VLOOKUP(H120,REPORT!$B$1:$C$4,2,FALSE)</f>
        <v>Fashion</v>
      </c>
      <c r="J120" t="str">
        <f t="shared" si="4"/>
        <v>Mismatch</v>
      </c>
      <c r="K120" s="19">
        <v>3</v>
      </c>
      <c r="L120" s="22">
        <v>381.83</v>
      </c>
      <c r="M120" s="23">
        <v>0.15</v>
      </c>
      <c r="N120" s="25">
        <v>973.67</v>
      </c>
      <c r="O120" t="s">
        <v>21</v>
      </c>
      <c r="P120" t="s">
        <v>61</v>
      </c>
      <c r="Q120" s="16">
        <v>45682</v>
      </c>
      <c r="R120">
        <v>4</v>
      </c>
      <c r="S120" t="str">
        <f t="shared" si="5"/>
        <v>YES</v>
      </c>
    </row>
    <row r="121" spans="1:19" x14ac:dyDescent="0.25">
      <c r="A121" t="s">
        <v>271</v>
      </c>
      <c r="B121" s="16">
        <v>45928</v>
      </c>
      <c r="C121" t="s">
        <v>139</v>
      </c>
      <c r="D121" t="s">
        <v>51</v>
      </c>
      <c r="E121" t="s">
        <v>52</v>
      </c>
      <c r="F121" t="s">
        <v>60</v>
      </c>
      <c r="G121" t="s">
        <v>46</v>
      </c>
      <c r="H121" t="s">
        <v>392</v>
      </c>
      <c r="I121" t="str">
        <f>VLOOKUP(H121,REPORT!$B$1:$C$4,2,FALSE)</f>
        <v>Electronics</v>
      </c>
      <c r="J121" t="str">
        <f t="shared" si="4"/>
        <v>Mismatch</v>
      </c>
      <c r="K121" s="19">
        <v>5</v>
      </c>
      <c r="L121" s="22">
        <v>126.44</v>
      </c>
      <c r="M121" s="23">
        <v>0</v>
      </c>
      <c r="N121" s="25">
        <v>632.20000000000005</v>
      </c>
      <c r="O121" t="s">
        <v>65</v>
      </c>
      <c r="P121" t="s">
        <v>81</v>
      </c>
      <c r="Q121" s="16">
        <v>45935</v>
      </c>
      <c r="R121">
        <v>1</v>
      </c>
      <c r="S121" t="str">
        <f t="shared" si="5"/>
        <v>YES</v>
      </c>
    </row>
    <row r="122" spans="1:19" x14ac:dyDescent="0.25">
      <c r="A122" t="s">
        <v>272</v>
      </c>
      <c r="B122" s="16">
        <v>45932</v>
      </c>
      <c r="C122" t="s">
        <v>273</v>
      </c>
      <c r="D122" t="s">
        <v>55</v>
      </c>
      <c r="E122" t="s">
        <v>26</v>
      </c>
      <c r="F122" t="s">
        <v>60</v>
      </c>
      <c r="G122" t="s">
        <v>28</v>
      </c>
      <c r="H122" t="s">
        <v>393</v>
      </c>
      <c r="I122" t="str">
        <f>VLOOKUP(H122,REPORT!$B$1:$C$4,2,FALSE)</f>
        <v>Beauty</v>
      </c>
      <c r="J122" t="str">
        <f t="shared" si="4"/>
        <v>Mismatch</v>
      </c>
      <c r="K122" s="19">
        <v>10</v>
      </c>
      <c r="L122" s="22">
        <v>128.55000000000001</v>
      </c>
      <c r="M122" s="23">
        <v>0.05</v>
      </c>
      <c r="N122" s="25">
        <v>1221.22</v>
      </c>
      <c r="O122" t="s">
        <v>21</v>
      </c>
      <c r="P122" t="s">
        <v>61</v>
      </c>
      <c r="Q122" s="16">
        <v>45933</v>
      </c>
      <c r="S122" t="str">
        <f t="shared" si="5"/>
        <v>YES</v>
      </c>
    </row>
    <row r="123" spans="1:19" x14ac:dyDescent="0.25">
      <c r="A123" t="s">
        <v>274</v>
      </c>
      <c r="B123" s="16">
        <v>45912</v>
      </c>
      <c r="C123" t="s">
        <v>260</v>
      </c>
      <c r="D123" t="s">
        <v>51</v>
      </c>
      <c r="E123" t="s">
        <v>52</v>
      </c>
      <c r="F123" t="s">
        <v>27</v>
      </c>
      <c r="G123" t="s">
        <v>28</v>
      </c>
      <c r="H123" t="s">
        <v>393</v>
      </c>
      <c r="I123" t="str">
        <f>VLOOKUP(H123,REPORT!$B$1:$C$4,2,FALSE)</f>
        <v>Beauty</v>
      </c>
      <c r="J123" t="str">
        <f t="shared" si="4"/>
        <v>Match</v>
      </c>
      <c r="K123" s="19">
        <v>6</v>
      </c>
      <c r="L123" s="22">
        <v>43.16</v>
      </c>
      <c r="M123" s="23">
        <v>0.2</v>
      </c>
      <c r="N123" s="25">
        <v>207.17</v>
      </c>
      <c r="O123" t="s">
        <v>57</v>
      </c>
      <c r="P123" t="s">
        <v>61</v>
      </c>
      <c r="Q123" s="16">
        <v>46002</v>
      </c>
      <c r="R123">
        <v>5</v>
      </c>
      <c r="S123" t="str">
        <f t="shared" si="5"/>
        <v>YES</v>
      </c>
    </row>
    <row r="124" spans="1:19" x14ac:dyDescent="0.25">
      <c r="A124" t="s">
        <v>275</v>
      </c>
      <c r="B124" s="16">
        <v>45695</v>
      </c>
      <c r="C124" t="s">
        <v>32</v>
      </c>
      <c r="D124" t="s">
        <v>39</v>
      </c>
      <c r="E124" t="s">
        <v>40</v>
      </c>
      <c r="F124" t="s">
        <v>19</v>
      </c>
      <c r="G124" t="s">
        <v>46</v>
      </c>
      <c r="H124" t="s">
        <v>392</v>
      </c>
      <c r="I124" t="str">
        <f>VLOOKUP(H124,REPORT!$B$1:$C$4,2,FALSE)</f>
        <v>Electronics</v>
      </c>
      <c r="J124" t="str">
        <f t="shared" si="4"/>
        <v>Match</v>
      </c>
      <c r="K124" s="19">
        <v>6</v>
      </c>
      <c r="L124" s="22">
        <v>128.15</v>
      </c>
      <c r="M124" s="23">
        <v>0</v>
      </c>
      <c r="N124" s="25">
        <v>768.9</v>
      </c>
      <c r="O124" t="s">
        <v>21</v>
      </c>
      <c r="P124" t="s">
        <v>69</v>
      </c>
      <c r="Q124" s="16">
        <v>45853</v>
      </c>
      <c r="R124">
        <v>5</v>
      </c>
      <c r="S124" t="str">
        <f t="shared" si="5"/>
        <v>YES</v>
      </c>
    </row>
    <row r="125" spans="1:19" x14ac:dyDescent="0.25">
      <c r="A125" t="s">
        <v>276</v>
      </c>
      <c r="B125" s="16">
        <v>46008</v>
      </c>
      <c r="C125" t="s">
        <v>71</v>
      </c>
      <c r="D125" t="s">
        <v>72</v>
      </c>
      <c r="E125" t="s">
        <v>44</v>
      </c>
      <c r="F125" t="s">
        <v>19</v>
      </c>
      <c r="G125" t="s">
        <v>64</v>
      </c>
      <c r="H125" t="s">
        <v>395</v>
      </c>
      <c r="I125" t="str">
        <f>VLOOKUP(H125,REPORT!$B$1:$C$4,2,FALSE)</f>
        <v>Fashion</v>
      </c>
      <c r="J125" t="str">
        <f t="shared" si="4"/>
        <v>Mismatch</v>
      </c>
      <c r="K125" s="19">
        <v>3</v>
      </c>
      <c r="L125" s="22">
        <v>407.63</v>
      </c>
      <c r="M125" s="23">
        <v>0</v>
      </c>
      <c r="N125" s="25">
        <v>1222.8900000000001</v>
      </c>
      <c r="O125" t="s">
        <v>21</v>
      </c>
      <c r="P125" t="s">
        <v>61</v>
      </c>
      <c r="Q125" s="16">
        <v>46016</v>
      </c>
      <c r="R125">
        <v>4</v>
      </c>
      <c r="S125" t="str">
        <f t="shared" si="5"/>
        <v>YES</v>
      </c>
    </row>
    <row r="126" spans="1:19" x14ac:dyDescent="0.25">
      <c r="A126" t="s">
        <v>277</v>
      </c>
      <c r="B126" s="16">
        <v>45861</v>
      </c>
      <c r="C126" t="s">
        <v>32</v>
      </c>
      <c r="D126" t="s">
        <v>39</v>
      </c>
      <c r="E126" t="s">
        <v>40</v>
      </c>
      <c r="F126" t="s">
        <v>27</v>
      </c>
      <c r="G126" t="s">
        <v>28</v>
      </c>
      <c r="H126" t="s">
        <v>393</v>
      </c>
      <c r="I126" t="str">
        <f>VLOOKUP(H126,REPORT!$B$1:$C$4,2,FALSE)</f>
        <v>Beauty</v>
      </c>
      <c r="J126" t="str">
        <f t="shared" si="4"/>
        <v>Match</v>
      </c>
      <c r="K126" s="19">
        <v>8</v>
      </c>
      <c r="L126" s="22">
        <v>134.12</v>
      </c>
      <c r="M126" s="23">
        <v>0.05</v>
      </c>
      <c r="N126" s="25">
        <v>1019.31</v>
      </c>
      <c r="O126" t="s">
        <v>21</v>
      </c>
      <c r="P126" t="s">
        <v>30</v>
      </c>
      <c r="Q126" s="16">
        <v>45875</v>
      </c>
      <c r="R126">
        <v>3</v>
      </c>
      <c r="S126" t="str">
        <f t="shared" si="5"/>
        <v>YES</v>
      </c>
    </row>
    <row r="127" spans="1:19" x14ac:dyDescent="0.25">
      <c r="A127" t="s">
        <v>278</v>
      </c>
      <c r="B127" s="16">
        <v>45999</v>
      </c>
      <c r="C127" t="s">
        <v>279</v>
      </c>
      <c r="D127" t="s">
        <v>55</v>
      </c>
      <c r="E127" t="s">
        <v>26</v>
      </c>
      <c r="F127" t="s">
        <v>27</v>
      </c>
      <c r="G127" t="s">
        <v>64</v>
      </c>
      <c r="H127" t="s">
        <v>395</v>
      </c>
      <c r="I127" t="str">
        <f>VLOOKUP(H127,REPORT!$B$1:$C$4,2,FALSE)</f>
        <v>Fashion</v>
      </c>
      <c r="J127" t="str">
        <f t="shared" si="4"/>
        <v>Mismatch</v>
      </c>
      <c r="K127" s="19">
        <v>7</v>
      </c>
      <c r="L127" s="22">
        <v>176.13</v>
      </c>
      <c r="M127" s="23">
        <v>0.05</v>
      </c>
      <c r="N127" s="25">
        <v>1171.26</v>
      </c>
      <c r="O127" t="s">
        <v>65</v>
      </c>
      <c r="P127" t="s">
        <v>48</v>
      </c>
      <c r="Q127" s="16">
        <v>45878</v>
      </c>
      <c r="R127">
        <v>4</v>
      </c>
      <c r="S127" t="str">
        <f t="shared" si="5"/>
        <v>NO</v>
      </c>
    </row>
    <row r="128" spans="1:19" x14ac:dyDescent="0.25">
      <c r="A128" t="s">
        <v>280</v>
      </c>
      <c r="B128" s="16">
        <v>45908</v>
      </c>
      <c r="C128" t="s">
        <v>281</v>
      </c>
      <c r="D128" t="s">
        <v>39</v>
      </c>
      <c r="E128" t="s">
        <v>40</v>
      </c>
      <c r="F128" t="s">
        <v>19</v>
      </c>
      <c r="G128" t="s">
        <v>20</v>
      </c>
      <c r="H128" t="s">
        <v>392</v>
      </c>
      <c r="I128" t="str">
        <f>VLOOKUP(H128,REPORT!$B$1:$C$4,2,FALSE)</f>
        <v>Electronics</v>
      </c>
      <c r="J128" t="str">
        <f t="shared" si="4"/>
        <v>Match</v>
      </c>
      <c r="K128" s="19">
        <v>-2</v>
      </c>
      <c r="L128" s="22">
        <v>153.94999999999999</v>
      </c>
      <c r="M128" s="23">
        <v>0</v>
      </c>
      <c r="N128" s="25">
        <v>-307.89999999999998</v>
      </c>
      <c r="O128" t="s">
        <v>21</v>
      </c>
      <c r="P128" t="s">
        <v>81</v>
      </c>
      <c r="Q128" s="16">
        <v>45888</v>
      </c>
      <c r="R128">
        <v>1</v>
      </c>
      <c r="S128" t="str">
        <f t="shared" si="5"/>
        <v>NO</v>
      </c>
    </row>
    <row r="129" spans="1:19" x14ac:dyDescent="0.25">
      <c r="A129" t="s">
        <v>282</v>
      </c>
      <c r="B129" s="16">
        <v>46011</v>
      </c>
      <c r="C129" t="s">
        <v>281</v>
      </c>
      <c r="D129" t="s">
        <v>55</v>
      </c>
      <c r="E129" t="s">
        <v>26</v>
      </c>
      <c r="F129" t="s">
        <v>60</v>
      </c>
      <c r="G129" t="s">
        <v>36</v>
      </c>
      <c r="H129" t="s">
        <v>394</v>
      </c>
      <c r="I129" t="str">
        <f>VLOOKUP(H129,REPORT!$B$1:$C$4,2,FALSE)</f>
        <v>Home &amp; Kitchen</v>
      </c>
      <c r="J129" t="str">
        <f t="shared" si="4"/>
        <v>Mismatch</v>
      </c>
      <c r="K129" s="19">
        <v>8</v>
      </c>
      <c r="L129" s="22">
        <v>30.75</v>
      </c>
      <c r="M129" s="23">
        <v>0.1</v>
      </c>
      <c r="N129" s="25">
        <v>221.4</v>
      </c>
      <c r="O129" t="s">
        <v>21</v>
      </c>
      <c r="P129" t="s">
        <v>61</v>
      </c>
      <c r="Q129" s="16">
        <v>46019</v>
      </c>
      <c r="R129">
        <v>5</v>
      </c>
      <c r="S129" t="str">
        <f t="shared" si="5"/>
        <v>YES</v>
      </c>
    </row>
    <row r="130" spans="1:19" x14ac:dyDescent="0.25">
      <c r="A130" t="s">
        <v>283</v>
      </c>
      <c r="B130" s="16">
        <v>45673</v>
      </c>
      <c r="C130" t="s">
        <v>135</v>
      </c>
      <c r="D130" t="s">
        <v>72</v>
      </c>
      <c r="E130" t="s">
        <v>44</v>
      </c>
      <c r="F130" t="s">
        <v>86</v>
      </c>
      <c r="G130" t="s">
        <v>28</v>
      </c>
      <c r="H130" t="s">
        <v>393</v>
      </c>
      <c r="I130" t="str">
        <f>VLOOKUP(H130,REPORT!$B$1:$C$4,2,FALSE)</f>
        <v>Beauty</v>
      </c>
      <c r="J130" t="str">
        <f t="shared" si="4"/>
        <v>Mismatch</v>
      </c>
      <c r="K130" s="19">
        <v>8</v>
      </c>
      <c r="L130" s="22">
        <v>27.05</v>
      </c>
      <c r="M130" s="23">
        <v>0</v>
      </c>
      <c r="N130" s="25">
        <v>216.4</v>
      </c>
      <c r="O130" t="s">
        <v>65</v>
      </c>
      <c r="P130" t="s">
        <v>61</v>
      </c>
      <c r="Q130" s="16">
        <v>45676</v>
      </c>
      <c r="R130">
        <v>2</v>
      </c>
      <c r="S130" t="str">
        <f t="shared" ref="S130:S161" si="6">IF(B130&lt;=Q130,"YES","NO")</f>
        <v>YES</v>
      </c>
    </row>
    <row r="131" spans="1:19" x14ac:dyDescent="0.25">
      <c r="A131" t="s">
        <v>284</v>
      </c>
      <c r="B131" s="16">
        <v>45907</v>
      </c>
      <c r="C131" t="s">
        <v>285</v>
      </c>
      <c r="D131" t="s">
        <v>55</v>
      </c>
      <c r="E131" t="s">
        <v>26</v>
      </c>
      <c r="F131" t="s">
        <v>60</v>
      </c>
      <c r="G131" t="s">
        <v>64</v>
      </c>
      <c r="H131" t="s">
        <v>395</v>
      </c>
      <c r="I131" t="str">
        <f>VLOOKUP(H131,REPORT!$B$1:$C$4,2,FALSE)</f>
        <v>Fashion</v>
      </c>
      <c r="J131" t="str">
        <f t="shared" ref="J131:J192" si="7">IF(F131=I131,"Match","Mismatch")</f>
        <v>Match</v>
      </c>
      <c r="K131" s="19">
        <v>2</v>
      </c>
      <c r="L131" s="22">
        <v>291.22000000000003</v>
      </c>
      <c r="M131" s="23">
        <v>0.2</v>
      </c>
      <c r="N131" s="25">
        <v>465.95</v>
      </c>
      <c r="O131" t="s">
        <v>21</v>
      </c>
      <c r="P131" t="s">
        <v>61</v>
      </c>
      <c r="Q131" s="16">
        <v>45853</v>
      </c>
      <c r="R131">
        <v>3</v>
      </c>
      <c r="S131" t="str">
        <f t="shared" si="6"/>
        <v>NO</v>
      </c>
    </row>
    <row r="132" spans="1:19" x14ac:dyDescent="0.25">
      <c r="A132" t="s">
        <v>286</v>
      </c>
      <c r="B132" s="16">
        <v>45913</v>
      </c>
      <c r="C132" t="s">
        <v>215</v>
      </c>
      <c r="D132" t="s">
        <v>51</v>
      </c>
      <c r="E132" t="s">
        <v>52</v>
      </c>
      <c r="F132" t="s">
        <v>19</v>
      </c>
      <c r="G132" t="s">
        <v>64</v>
      </c>
      <c r="H132" t="s">
        <v>395</v>
      </c>
      <c r="I132" t="str">
        <f>VLOOKUP(H132,REPORT!$B$1:$C$4,2,FALSE)</f>
        <v>Fashion</v>
      </c>
      <c r="J132" t="str">
        <f t="shared" si="7"/>
        <v>Mismatch</v>
      </c>
      <c r="K132" s="19">
        <v>0</v>
      </c>
      <c r="L132" s="22">
        <v>67.7</v>
      </c>
      <c r="M132" s="23">
        <v>0.1</v>
      </c>
      <c r="N132" s="25">
        <v>0</v>
      </c>
      <c r="O132" t="s">
        <v>47</v>
      </c>
      <c r="P132" t="s">
        <v>81</v>
      </c>
      <c r="Q132" s="16">
        <v>45922</v>
      </c>
      <c r="R132">
        <v>4</v>
      </c>
      <c r="S132" t="str">
        <f t="shared" si="6"/>
        <v>YES</v>
      </c>
    </row>
    <row r="133" spans="1:19" x14ac:dyDescent="0.25">
      <c r="A133" t="s">
        <v>288</v>
      </c>
      <c r="B133" s="16">
        <v>45889</v>
      </c>
      <c r="C133" t="s">
        <v>289</v>
      </c>
      <c r="D133" t="s">
        <v>72</v>
      </c>
      <c r="E133" t="s">
        <v>44</v>
      </c>
      <c r="F133" t="s">
        <v>60</v>
      </c>
      <c r="G133" t="s">
        <v>64</v>
      </c>
      <c r="H133" t="s">
        <v>395</v>
      </c>
      <c r="I133" t="str">
        <f>VLOOKUP(H133,REPORT!$B$1:$C$4,2,FALSE)</f>
        <v>Fashion</v>
      </c>
      <c r="J133" t="str">
        <f t="shared" si="7"/>
        <v>Match</v>
      </c>
      <c r="K133" s="19">
        <v>2</v>
      </c>
      <c r="L133" s="22">
        <v>407.15</v>
      </c>
      <c r="M133" s="23">
        <v>0.1</v>
      </c>
      <c r="N133" s="25">
        <v>732.87</v>
      </c>
      <c r="O133" t="s">
        <v>21</v>
      </c>
      <c r="P133" t="s">
        <v>48</v>
      </c>
      <c r="Q133" s="16">
        <v>45892</v>
      </c>
      <c r="R133">
        <v>3</v>
      </c>
      <c r="S133" t="str">
        <f t="shared" si="6"/>
        <v>YES</v>
      </c>
    </row>
    <row r="134" spans="1:19" x14ac:dyDescent="0.25">
      <c r="A134" t="s">
        <v>290</v>
      </c>
      <c r="B134" s="16">
        <v>45658</v>
      </c>
      <c r="C134" t="s">
        <v>291</v>
      </c>
      <c r="D134" t="s">
        <v>51</v>
      </c>
      <c r="E134" t="s">
        <v>52</v>
      </c>
      <c r="F134" t="s">
        <v>86</v>
      </c>
      <c r="G134" t="s">
        <v>36</v>
      </c>
      <c r="H134" t="s">
        <v>394</v>
      </c>
      <c r="I134" t="str">
        <f>VLOOKUP(H134,REPORT!$B$1:$C$4,2,FALSE)</f>
        <v>Home &amp; Kitchen</v>
      </c>
      <c r="J134" t="str">
        <f t="shared" si="7"/>
        <v>Match</v>
      </c>
      <c r="K134" s="19">
        <v>9</v>
      </c>
      <c r="L134" s="22">
        <v>119.88</v>
      </c>
      <c r="M134" s="23">
        <v>1.5</v>
      </c>
      <c r="N134" s="25">
        <v>-539.46</v>
      </c>
      <c r="O134" t="s">
        <v>21</v>
      </c>
      <c r="P134" t="s">
        <v>48</v>
      </c>
      <c r="Q134" s="16">
        <v>45760</v>
      </c>
      <c r="R134">
        <v>2</v>
      </c>
      <c r="S134" t="str">
        <f t="shared" si="6"/>
        <v>YES</v>
      </c>
    </row>
    <row r="135" spans="1:19" x14ac:dyDescent="0.25">
      <c r="A135" t="s">
        <v>292</v>
      </c>
      <c r="B135" s="16">
        <v>45940</v>
      </c>
      <c r="C135" t="s">
        <v>293</v>
      </c>
      <c r="D135" t="s">
        <v>55</v>
      </c>
      <c r="E135" t="s">
        <v>26</v>
      </c>
      <c r="F135" t="s">
        <v>86</v>
      </c>
      <c r="G135" t="s">
        <v>28</v>
      </c>
      <c r="H135" t="s">
        <v>393</v>
      </c>
      <c r="I135" t="str">
        <f>VLOOKUP(H135,REPORT!$B$1:$C$4,2,FALSE)</f>
        <v>Beauty</v>
      </c>
      <c r="J135" t="str">
        <f t="shared" si="7"/>
        <v>Mismatch</v>
      </c>
      <c r="K135" s="19">
        <v>2</v>
      </c>
      <c r="L135" s="22">
        <v>42.22</v>
      </c>
      <c r="M135" s="23">
        <v>0.15</v>
      </c>
      <c r="N135" s="25">
        <v>71.77</v>
      </c>
      <c r="O135" t="s">
        <v>65</v>
      </c>
      <c r="P135" t="s">
        <v>61</v>
      </c>
      <c r="Q135" s="16">
        <v>45943</v>
      </c>
      <c r="R135">
        <v>4</v>
      </c>
      <c r="S135" t="str">
        <f t="shared" si="6"/>
        <v>YES</v>
      </c>
    </row>
    <row r="136" spans="1:19" x14ac:dyDescent="0.25">
      <c r="A136" t="s">
        <v>294</v>
      </c>
      <c r="B136" s="16">
        <v>45888</v>
      </c>
      <c r="C136" t="s">
        <v>246</v>
      </c>
      <c r="D136" t="s">
        <v>55</v>
      </c>
      <c r="E136" t="s">
        <v>26</v>
      </c>
      <c r="F136" t="s">
        <v>19</v>
      </c>
      <c r="G136" t="s">
        <v>28</v>
      </c>
      <c r="H136" t="s">
        <v>393</v>
      </c>
      <c r="I136" t="str">
        <f>VLOOKUP(H136,REPORT!$B$1:$C$4,2,FALSE)</f>
        <v>Beauty</v>
      </c>
      <c r="J136" t="str">
        <f t="shared" si="7"/>
        <v>Mismatch</v>
      </c>
      <c r="K136" s="19">
        <v>6</v>
      </c>
      <c r="L136" s="22">
        <v>72.88</v>
      </c>
      <c r="M136" s="23">
        <v>0.2</v>
      </c>
      <c r="N136" s="25">
        <v>349.82</v>
      </c>
      <c r="O136" t="s">
        <v>57</v>
      </c>
      <c r="P136" t="s">
        <v>69</v>
      </c>
      <c r="Q136" s="16">
        <v>45896</v>
      </c>
      <c r="R136">
        <v>5</v>
      </c>
      <c r="S136" t="str">
        <f t="shared" si="6"/>
        <v>YES</v>
      </c>
    </row>
    <row r="137" spans="1:19" x14ac:dyDescent="0.25">
      <c r="A137" t="s">
        <v>295</v>
      </c>
      <c r="B137" s="16">
        <v>45736</v>
      </c>
      <c r="C137" t="s">
        <v>63</v>
      </c>
      <c r="D137" t="s">
        <v>33</v>
      </c>
      <c r="E137" t="s">
        <v>34</v>
      </c>
      <c r="F137" t="s">
        <v>19</v>
      </c>
      <c r="G137" t="s">
        <v>20</v>
      </c>
      <c r="H137" t="s">
        <v>392</v>
      </c>
      <c r="I137" t="str">
        <f>VLOOKUP(H137,REPORT!$B$1:$C$4,2,FALSE)</f>
        <v>Electronics</v>
      </c>
      <c r="J137" t="str">
        <f t="shared" si="7"/>
        <v>Match</v>
      </c>
      <c r="K137" s="19">
        <v>3</v>
      </c>
      <c r="L137" s="22">
        <v>168.1</v>
      </c>
      <c r="M137" s="23">
        <v>0.05</v>
      </c>
      <c r="N137" s="25">
        <v>479.08</v>
      </c>
      <c r="O137" t="s">
        <v>21</v>
      </c>
      <c r="P137" t="s">
        <v>61</v>
      </c>
      <c r="R137">
        <v>3</v>
      </c>
      <c r="S137" t="str">
        <f t="shared" si="6"/>
        <v>NO</v>
      </c>
    </row>
    <row r="138" spans="1:19" x14ac:dyDescent="0.25">
      <c r="A138" t="s">
        <v>296</v>
      </c>
      <c r="B138" s="16">
        <v>45783</v>
      </c>
      <c r="C138" t="s">
        <v>297</v>
      </c>
      <c r="D138" t="s">
        <v>72</v>
      </c>
      <c r="E138" t="s">
        <v>91</v>
      </c>
      <c r="F138" t="s">
        <v>60</v>
      </c>
      <c r="G138" t="s">
        <v>28</v>
      </c>
      <c r="H138" t="s">
        <v>393</v>
      </c>
      <c r="I138" t="str">
        <f>VLOOKUP(H138,REPORT!$B$1:$C$4,2,FALSE)</f>
        <v>Beauty</v>
      </c>
      <c r="J138" t="str">
        <f t="shared" si="7"/>
        <v>Mismatch</v>
      </c>
      <c r="K138" s="19">
        <v>2</v>
      </c>
      <c r="L138" s="22">
        <v>256.26</v>
      </c>
      <c r="M138" s="23">
        <v>0.05</v>
      </c>
      <c r="N138" s="25">
        <v>486.89</v>
      </c>
      <c r="O138" t="s">
        <v>65</v>
      </c>
      <c r="P138" t="s">
        <v>30</v>
      </c>
      <c r="Q138" s="16">
        <v>45823</v>
      </c>
      <c r="R138">
        <v>5</v>
      </c>
      <c r="S138" t="str">
        <f t="shared" si="6"/>
        <v>YES</v>
      </c>
    </row>
    <row r="139" spans="1:19" x14ac:dyDescent="0.25">
      <c r="A139" t="s">
        <v>298</v>
      </c>
      <c r="B139" s="16">
        <v>45672</v>
      </c>
      <c r="C139" t="s">
        <v>299</v>
      </c>
      <c r="D139" t="s">
        <v>33</v>
      </c>
      <c r="E139" t="s">
        <v>34</v>
      </c>
      <c r="F139" t="s">
        <v>60</v>
      </c>
      <c r="G139" t="s">
        <v>46</v>
      </c>
      <c r="H139" t="s">
        <v>392</v>
      </c>
      <c r="I139" t="str">
        <f>VLOOKUP(H139,REPORT!$B$1:$C$4,2,FALSE)</f>
        <v>Electronics</v>
      </c>
      <c r="J139" t="str">
        <f t="shared" si="7"/>
        <v>Mismatch</v>
      </c>
      <c r="K139" s="19">
        <v>10</v>
      </c>
      <c r="L139" s="22">
        <v>139.68</v>
      </c>
      <c r="M139" s="23">
        <v>0.05</v>
      </c>
      <c r="N139" s="25">
        <v>1326.96</v>
      </c>
      <c r="O139" t="s">
        <v>21</v>
      </c>
      <c r="P139" t="s">
        <v>81</v>
      </c>
      <c r="Q139" s="16">
        <v>45674</v>
      </c>
      <c r="R139">
        <v>5</v>
      </c>
      <c r="S139" t="str">
        <f t="shared" si="6"/>
        <v>YES</v>
      </c>
    </row>
    <row r="140" spans="1:19" x14ac:dyDescent="0.25">
      <c r="A140" t="s">
        <v>300</v>
      </c>
      <c r="B140" s="16">
        <v>45786</v>
      </c>
      <c r="C140" t="s">
        <v>201</v>
      </c>
      <c r="D140" t="s">
        <v>51</v>
      </c>
      <c r="E140" t="s">
        <v>52</v>
      </c>
      <c r="F140" t="s">
        <v>86</v>
      </c>
      <c r="G140" t="s">
        <v>64</v>
      </c>
      <c r="H140" t="s">
        <v>395</v>
      </c>
      <c r="I140" t="str">
        <f>VLOOKUP(H140,REPORT!$B$1:$C$4,2,FALSE)</f>
        <v>Fashion</v>
      </c>
      <c r="J140" t="str">
        <f t="shared" si="7"/>
        <v>Mismatch</v>
      </c>
      <c r="K140" s="19">
        <v>5</v>
      </c>
      <c r="L140" s="22">
        <v>232.24</v>
      </c>
      <c r="M140" s="23">
        <v>0</v>
      </c>
      <c r="N140" s="25">
        <v>1161.2</v>
      </c>
      <c r="O140" t="s">
        <v>57</v>
      </c>
      <c r="P140" t="s">
        <v>61</v>
      </c>
      <c r="Q140" s="16">
        <v>45909</v>
      </c>
      <c r="R140">
        <v>2</v>
      </c>
      <c r="S140" t="str">
        <f t="shared" si="6"/>
        <v>YES</v>
      </c>
    </row>
    <row r="141" spans="1:19" x14ac:dyDescent="0.25">
      <c r="A141" t="s">
        <v>302</v>
      </c>
      <c r="B141" s="16">
        <v>45821</v>
      </c>
      <c r="C141" t="s">
        <v>303</v>
      </c>
      <c r="D141" t="s">
        <v>72</v>
      </c>
      <c r="E141" t="s">
        <v>44</v>
      </c>
      <c r="F141" t="s">
        <v>19</v>
      </c>
      <c r="G141" t="s">
        <v>36</v>
      </c>
      <c r="H141" t="s">
        <v>394</v>
      </c>
      <c r="I141" t="str">
        <f>VLOOKUP(H141,REPORT!$B$1:$C$4,2,FALSE)</f>
        <v>Home &amp; Kitchen</v>
      </c>
      <c r="J141" t="str">
        <f t="shared" si="7"/>
        <v>Mismatch</v>
      </c>
      <c r="K141" s="19">
        <v>7</v>
      </c>
      <c r="L141" s="22">
        <v>74.08</v>
      </c>
      <c r="M141" s="23">
        <v>0.1</v>
      </c>
      <c r="N141" s="25">
        <v>466.7</v>
      </c>
      <c r="O141" t="s">
        <v>57</v>
      </c>
      <c r="P141" t="s">
        <v>61</v>
      </c>
      <c r="Q141" s="16">
        <v>45833</v>
      </c>
      <c r="R141">
        <v>5</v>
      </c>
      <c r="S141" t="str">
        <f t="shared" si="6"/>
        <v>YES</v>
      </c>
    </row>
    <row r="142" spans="1:19" x14ac:dyDescent="0.25">
      <c r="A142" t="s">
        <v>304</v>
      </c>
      <c r="B142" s="16">
        <v>45707</v>
      </c>
      <c r="C142" t="s">
        <v>386</v>
      </c>
      <c r="D142" t="s">
        <v>72</v>
      </c>
      <c r="E142" t="s">
        <v>18</v>
      </c>
      <c r="F142" t="s">
        <v>19</v>
      </c>
      <c r="G142" t="s">
        <v>36</v>
      </c>
      <c r="H142" t="s">
        <v>394</v>
      </c>
      <c r="I142" t="str">
        <f>VLOOKUP(H142,REPORT!$B$1:$C$4,2,FALSE)</f>
        <v>Home &amp; Kitchen</v>
      </c>
      <c r="J142" t="str">
        <f t="shared" si="7"/>
        <v>Mismatch</v>
      </c>
      <c r="K142" s="19">
        <v>7</v>
      </c>
      <c r="L142" s="22">
        <v>433.44</v>
      </c>
      <c r="M142" s="23">
        <v>0.15</v>
      </c>
      <c r="N142" s="25">
        <v>2578.9699999999998</v>
      </c>
      <c r="O142" t="s">
        <v>65</v>
      </c>
      <c r="P142" t="s">
        <v>30</v>
      </c>
      <c r="Q142" s="16">
        <v>45708</v>
      </c>
      <c r="S142" t="str">
        <f t="shared" si="6"/>
        <v>YES</v>
      </c>
    </row>
    <row r="143" spans="1:19" x14ac:dyDescent="0.25">
      <c r="A143" t="s">
        <v>306</v>
      </c>
      <c r="B143" s="16">
        <v>45921</v>
      </c>
      <c r="C143" t="s">
        <v>307</v>
      </c>
      <c r="D143" t="s">
        <v>55</v>
      </c>
      <c r="E143" t="s">
        <v>26</v>
      </c>
      <c r="F143" t="s">
        <v>19</v>
      </c>
      <c r="G143" t="s">
        <v>64</v>
      </c>
      <c r="H143" t="s">
        <v>395</v>
      </c>
      <c r="I143" t="str">
        <f>VLOOKUP(H143,REPORT!$B$1:$C$4,2,FALSE)</f>
        <v>Fashion</v>
      </c>
      <c r="J143" t="str">
        <f t="shared" si="7"/>
        <v>Mismatch</v>
      </c>
      <c r="K143" s="19">
        <v>5</v>
      </c>
      <c r="L143" s="22">
        <v>253.71</v>
      </c>
      <c r="M143" s="23">
        <v>0</v>
      </c>
      <c r="N143" s="25">
        <v>1268.55</v>
      </c>
      <c r="O143" t="s">
        <v>65</v>
      </c>
      <c r="P143" t="s">
        <v>48</v>
      </c>
      <c r="Q143" s="16">
        <v>45929</v>
      </c>
      <c r="R143">
        <v>4</v>
      </c>
      <c r="S143" t="str">
        <f t="shared" si="6"/>
        <v>YES</v>
      </c>
    </row>
    <row r="144" spans="1:19" x14ac:dyDescent="0.25">
      <c r="A144" t="s">
        <v>308</v>
      </c>
      <c r="B144" s="16">
        <v>45699</v>
      </c>
      <c r="C144" t="s">
        <v>309</v>
      </c>
      <c r="D144" t="s">
        <v>72</v>
      </c>
      <c r="E144" t="s">
        <v>44</v>
      </c>
      <c r="F144" t="s">
        <v>60</v>
      </c>
      <c r="G144" t="s">
        <v>64</v>
      </c>
      <c r="H144" t="s">
        <v>395</v>
      </c>
      <c r="I144" t="str">
        <f>VLOOKUP(H144,REPORT!$B$1:$C$4,2,FALSE)</f>
        <v>Fashion</v>
      </c>
      <c r="J144" t="str">
        <f t="shared" si="7"/>
        <v>Match</v>
      </c>
      <c r="K144" s="19">
        <v>5</v>
      </c>
      <c r="L144" s="22">
        <v>272.98</v>
      </c>
      <c r="M144" s="23">
        <v>0</v>
      </c>
      <c r="N144" s="25">
        <v>1364.9</v>
      </c>
      <c r="O144" t="s">
        <v>21</v>
      </c>
      <c r="P144" t="s">
        <v>81</v>
      </c>
      <c r="Q144" s="16">
        <v>45977</v>
      </c>
      <c r="R144">
        <v>4</v>
      </c>
      <c r="S144" t="str">
        <f t="shared" si="6"/>
        <v>YES</v>
      </c>
    </row>
    <row r="145" spans="1:19" x14ac:dyDescent="0.25">
      <c r="A145" t="s">
        <v>310</v>
      </c>
      <c r="B145" s="16">
        <v>45949</v>
      </c>
      <c r="C145" t="s">
        <v>311</v>
      </c>
      <c r="D145" t="s">
        <v>55</v>
      </c>
      <c r="E145" t="s">
        <v>26</v>
      </c>
      <c r="F145" t="s">
        <v>60</v>
      </c>
      <c r="G145" t="s">
        <v>20</v>
      </c>
      <c r="H145" t="s">
        <v>392</v>
      </c>
      <c r="I145" t="str">
        <f>VLOOKUP(H145,REPORT!$B$1:$C$4,2,FALSE)</f>
        <v>Electronics</v>
      </c>
      <c r="J145" t="str">
        <f t="shared" si="7"/>
        <v>Mismatch</v>
      </c>
      <c r="K145" s="19">
        <v>6</v>
      </c>
      <c r="L145" s="22">
        <v>281.08</v>
      </c>
      <c r="M145" s="23">
        <v>0</v>
      </c>
      <c r="N145" s="25">
        <v>1686.48</v>
      </c>
      <c r="O145" t="s">
        <v>21</v>
      </c>
      <c r="P145" t="s">
        <v>69</v>
      </c>
      <c r="Q145" s="16">
        <v>45958</v>
      </c>
      <c r="R145">
        <v>4</v>
      </c>
      <c r="S145" t="str">
        <f t="shared" si="6"/>
        <v>YES</v>
      </c>
    </row>
    <row r="146" spans="1:19" x14ac:dyDescent="0.25">
      <c r="A146" t="s">
        <v>312</v>
      </c>
      <c r="B146" s="16">
        <v>45859</v>
      </c>
      <c r="C146" t="s">
        <v>289</v>
      </c>
      <c r="D146" t="s">
        <v>55</v>
      </c>
      <c r="E146" t="s">
        <v>26</v>
      </c>
      <c r="F146" t="s">
        <v>19</v>
      </c>
      <c r="G146" t="s">
        <v>36</v>
      </c>
      <c r="H146" t="s">
        <v>394</v>
      </c>
      <c r="I146" t="str">
        <f>VLOOKUP(H146,REPORT!$B$1:$C$4,2,FALSE)</f>
        <v>Home &amp; Kitchen</v>
      </c>
      <c r="J146" t="str">
        <f t="shared" si="7"/>
        <v>Mismatch</v>
      </c>
      <c r="K146" s="19">
        <v>-2</v>
      </c>
      <c r="L146" s="22">
        <v>470.08</v>
      </c>
      <c r="M146" s="23">
        <v>0.05</v>
      </c>
      <c r="N146" s="25">
        <v>-893.15</v>
      </c>
      <c r="O146" t="s">
        <v>21</v>
      </c>
      <c r="P146" t="s">
        <v>61</v>
      </c>
      <c r="Q146" s="16">
        <v>45865</v>
      </c>
      <c r="R146">
        <v>8</v>
      </c>
      <c r="S146" t="str">
        <f t="shared" si="6"/>
        <v>YES</v>
      </c>
    </row>
    <row r="147" spans="1:19" x14ac:dyDescent="0.25">
      <c r="A147" t="s">
        <v>313</v>
      </c>
      <c r="B147" s="16">
        <v>45923</v>
      </c>
      <c r="C147" t="s">
        <v>209</v>
      </c>
      <c r="D147" t="s">
        <v>39</v>
      </c>
      <c r="E147" t="s">
        <v>40</v>
      </c>
      <c r="F147" t="s">
        <v>86</v>
      </c>
      <c r="G147" t="s">
        <v>20</v>
      </c>
      <c r="H147" t="s">
        <v>392</v>
      </c>
      <c r="I147" t="str">
        <f>VLOOKUP(H147,REPORT!$B$1:$C$4,2,FALSE)</f>
        <v>Electronics</v>
      </c>
      <c r="J147" t="str">
        <f t="shared" si="7"/>
        <v>Mismatch</v>
      </c>
      <c r="K147" s="19">
        <v>10</v>
      </c>
      <c r="L147" s="22">
        <v>447.63</v>
      </c>
      <c r="M147" s="23">
        <v>0.05</v>
      </c>
      <c r="N147" s="25">
        <v>4252.4799999999996</v>
      </c>
      <c r="O147" t="s">
        <v>65</v>
      </c>
      <c r="P147" t="s">
        <v>30</v>
      </c>
      <c r="Q147" s="16">
        <v>45931</v>
      </c>
      <c r="R147">
        <v>3</v>
      </c>
      <c r="S147" t="str">
        <f t="shared" si="6"/>
        <v>YES</v>
      </c>
    </row>
    <row r="148" spans="1:19" x14ac:dyDescent="0.25">
      <c r="A148" t="s">
        <v>315</v>
      </c>
      <c r="B148" s="16">
        <v>45918</v>
      </c>
      <c r="C148" t="s">
        <v>293</v>
      </c>
      <c r="D148" t="s">
        <v>39</v>
      </c>
      <c r="E148" t="s">
        <v>40</v>
      </c>
      <c r="F148" t="s">
        <v>19</v>
      </c>
      <c r="G148" t="s">
        <v>64</v>
      </c>
      <c r="H148" t="s">
        <v>395</v>
      </c>
      <c r="I148" t="str">
        <f>VLOOKUP(H148,REPORT!$B$1:$C$4,2,FALSE)</f>
        <v>Fashion</v>
      </c>
      <c r="J148" t="str">
        <f t="shared" si="7"/>
        <v>Mismatch</v>
      </c>
      <c r="K148" s="19">
        <v>10</v>
      </c>
      <c r="L148" s="22">
        <v>156.9</v>
      </c>
      <c r="M148" s="23">
        <v>0</v>
      </c>
      <c r="N148" s="25">
        <v>1569</v>
      </c>
      <c r="O148" t="s">
        <v>57</v>
      </c>
      <c r="P148" t="s">
        <v>69</v>
      </c>
      <c r="Q148" s="16">
        <v>45927</v>
      </c>
      <c r="R148">
        <v>3</v>
      </c>
      <c r="S148" t="str">
        <f t="shared" si="6"/>
        <v>YES</v>
      </c>
    </row>
    <row r="149" spans="1:19" x14ac:dyDescent="0.25">
      <c r="A149" t="s">
        <v>316</v>
      </c>
      <c r="B149" s="16">
        <v>45671</v>
      </c>
      <c r="C149" t="s">
        <v>317</v>
      </c>
      <c r="D149" t="s">
        <v>33</v>
      </c>
      <c r="E149" t="s">
        <v>34</v>
      </c>
      <c r="F149" t="s">
        <v>19</v>
      </c>
      <c r="G149" t="s">
        <v>64</v>
      </c>
      <c r="H149" t="s">
        <v>395</v>
      </c>
      <c r="I149" t="str">
        <f>VLOOKUP(H149,REPORT!$B$1:$C$4,2,FALSE)</f>
        <v>Fashion</v>
      </c>
      <c r="J149" t="str">
        <f t="shared" si="7"/>
        <v>Mismatch</v>
      </c>
      <c r="K149" s="19">
        <v>5</v>
      </c>
      <c r="L149" s="22">
        <v>483.86</v>
      </c>
      <c r="M149" s="23">
        <v>0.2</v>
      </c>
      <c r="N149" s="25">
        <v>1935.44</v>
      </c>
      <c r="O149" t="s">
        <v>65</v>
      </c>
      <c r="P149" t="s">
        <v>81</v>
      </c>
      <c r="Q149" s="16">
        <v>45681</v>
      </c>
      <c r="R149">
        <v>5</v>
      </c>
      <c r="S149" t="str">
        <f t="shared" si="6"/>
        <v>YES</v>
      </c>
    </row>
    <row r="150" spans="1:19" x14ac:dyDescent="0.25">
      <c r="A150" t="s">
        <v>318</v>
      </c>
      <c r="B150" s="16">
        <v>45852</v>
      </c>
      <c r="C150" t="s">
        <v>252</v>
      </c>
      <c r="D150" t="s">
        <v>51</v>
      </c>
      <c r="E150" t="s">
        <v>52</v>
      </c>
      <c r="F150" t="s">
        <v>19</v>
      </c>
      <c r="G150" t="s">
        <v>20</v>
      </c>
      <c r="H150" t="s">
        <v>392</v>
      </c>
      <c r="I150" t="str">
        <f>VLOOKUP(H150,REPORT!$B$1:$C$4,2,FALSE)</f>
        <v>Electronics</v>
      </c>
      <c r="J150" t="str">
        <f t="shared" si="7"/>
        <v>Match</v>
      </c>
      <c r="K150" s="19">
        <v>1</v>
      </c>
      <c r="L150" s="22">
        <v>290.56</v>
      </c>
      <c r="M150" s="23">
        <v>0</v>
      </c>
      <c r="N150" s="25">
        <v>290.56</v>
      </c>
      <c r="O150" t="s">
        <v>57</v>
      </c>
      <c r="P150" t="s">
        <v>61</v>
      </c>
      <c r="Q150" s="16">
        <v>45855</v>
      </c>
      <c r="R150">
        <v>2</v>
      </c>
      <c r="S150" t="str">
        <f t="shared" si="6"/>
        <v>YES</v>
      </c>
    </row>
    <row r="151" spans="1:19" x14ac:dyDescent="0.25">
      <c r="A151" t="s">
        <v>319</v>
      </c>
      <c r="B151" s="16">
        <v>45914</v>
      </c>
      <c r="C151" t="s">
        <v>320</v>
      </c>
      <c r="D151" t="s">
        <v>51</v>
      </c>
      <c r="E151" t="s">
        <v>52</v>
      </c>
      <c r="F151" t="s">
        <v>19</v>
      </c>
      <c r="G151" t="s">
        <v>28</v>
      </c>
      <c r="H151" t="s">
        <v>393</v>
      </c>
      <c r="I151" t="str">
        <f>VLOOKUP(H151,REPORT!$B$1:$C$4,2,FALSE)</f>
        <v>Beauty</v>
      </c>
      <c r="J151" t="str">
        <f t="shared" si="7"/>
        <v>Mismatch</v>
      </c>
      <c r="K151" s="19">
        <v>8</v>
      </c>
      <c r="L151" s="22">
        <v>437.68</v>
      </c>
      <c r="M151" s="23">
        <v>0</v>
      </c>
      <c r="N151" s="25">
        <v>3501.44</v>
      </c>
      <c r="O151" t="s">
        <v>47</v>
      </c>
      <c r="P151" t="s">
        <v>81</v>
      </c>
      <c r="Q151" s="16">
        <v>45927</v>
      </c>
      <c r="R151">
        <v>2</v>
      </c>
      <c r="S151" t="str">
        <f t="shared" si="6"/>
        <v>YES</v>
      </c>
    </row>
    <row r="152" spans="1:19" x14ac:dyDescent="0.25">
      <c r="A152" t="s">
        <v>321</v>
      </c>
      <c r="B152" s="16">
        <v>45893</v>
      </c>
      <c r="C152" t="s">
        <v>195</v>
      </c>
      <c r="D152" t="s">
        <v>55</v>
      </c>
      <c r="E152" t="s">
        <v>26</v>
      </c>
      <c r="F152" t="s">
        <v>19</v>
      </c>
      <c r="G152" t="s">
        <v>36</v>
      </c>
      <c r="H152" t="s">
        <v>394</v>
      </c>
      <c r="I152" t="str">
        <f>VLOOKUP(H152,REPORT!$B$1:$C$4,2,FALSE)</f>
        <v>Home &amp; Kitchen</v>
      </c>
      <c r="J152" t="str">
        <f t="shared" si="7"/>
        <v>Mismatch</v>
      </c>
      <c r="K152" s="19">
        <v>9</v>
      </c>
      <c r="L152" s="22">
        <v>183.6</v>
      </c>
      <c r="M152" s="23">
        <v>0.1</v>
      </c>
      <c r="N152" s="25">
        <v>1487.16</v>
      </c>
      <c r="O152" t="s">
        <v>21</v>
      </c>
      <c r="P152" t="s">
        <v>69</v>
      </c>
      <c r="Q152" s="16">
        <v>45890</v>
      </c>
      <c r="R152">
        <v>5</v>
      </c>
      <c r="S152" t="str">
        <f t="shared" si="6"/>
        <v>NO</v>
      </c>
    </row>
    <row r="153" spans="1:19" x14ac:dyDescent="0.25">
      <c r="A153" t="s">
        <v>323</v>
      </c>
      <c r="B153" s="16">
        <v>46018</v>
      </c>
      <c r="C153" t="s">
        <v>324</v>
      </c>
      <c r="D153" t="s">
        <v>33</v>
      </c>
      <c r="E153" t="s">
        <v>34</v>
      </c>
      <c r="F153" t="s">
        <v>60</v>
      </c>
      <c r="G153" t="s">
        <v>64</v>
      </c>
      <c r="H153" t="s">
        <v>395</v>
      </c>
      <c r="I153" t="str">
        <f>VLOOKUP(H153,REPORT!$B$1:$C$4,2,FALSE)</f>
        <v>Fashion</v>
      </c>
      <c r="J153" t="str">
        <f t="shared" si="7"/>
        <v>Match</v>
      </c>
      <c r="K153" s="19">
        <v>6</v>
      </c>
      <c r="L153" s="22">
        <v>245.1</v>
      </c>
      <c r="M153" s="23">
        <v>0.2</v>
      </c>
      <c r="N153" s="25">
        <v>1176.48</v>
      </c>
      <c r="O153" t="s">
        <v>47</v>
      </c>
      <c r="P153" t="s">
        <v>69</v>
      </c>
      <c r="Q153" s="16">
        <v>46022</v>
      </c>
      <c r="R153">
        <v>3</v>
      </c>
      <c r="S153" t="str">
        <f t="shared" si="6"/>
        <v>YES</v>
      </c>
    </row>
    <row r="154" spans="1:19" x14ac:dyDescent="0.25">
      <c r="A154" t="s">
        <v>325</v>
      </c>
      <c r="B154" s="16">
        <v>45732</v>
      </c>
      <c r="C154" t="s">
        <v>326</v>
      </c>
      <c r="D154" t="s">
        <v>55</v>
      </c>
      <c r="E154" t="s">
        <v>26</v>
      </c>
      <c r="F154" t="s">
        <v>19</v>
      </c>
      <c r="G154" t="s">
        <v>46</v>
      </c>
      <c r="H154" t="s">
        <v>392</v>
      </c>
      <c r="I154" t="str">
        <f>VLOOKUP(H154,REPORT!$B$1:$C$4,2,FALSE)</f>
        <v>Electronics</v>
      </c>
      <c r="J154" t="str">
        <f t="shared" si="7"/>
        <v>Match</v>
      </c>
      <c r="K154" s="19">
        <v>5</v>
      </c>
      <c r="L154" s="22">
        <v>478.1</v>
      </c>
      <c r="M154" s="23">
        <v>0</v>
      </c>
      <c r="N154" s="25">
        <v>2390.5</v>
      </c>
      <c r="O154" t="s">
        <v>47</v>
      </c>
      <c r="P154" t="s">
        <v>81</v>
      </c>
      <c r="Q154" s="16">
        <v>45737</v>
      </c>
      <c r="R154">
        <v>3</v>
      </c>
      <c r="S154" t="str">
        <f t="shared" si="6"/>
        <v>YES</v>
      </c>
    </row>
    <row r="155" spans="1:19" x14ac:dyDescent="0.25">
      <c r="A155" t="s">
        <v>327</v>
      </c>
      <c r="B155" s="16">
        <v>45945</v>
      </c>
      <c r="C155" t="s">
        <v>328</v>
      </c>
      <c r="D155" t="s">
        <v>51</v>
      </c>
      <c r="E155" t="s">
        <v>52</v>
      </c>
      <c r="F155" t="s">
        <v>60</v>
      </c>
      <c r="G155" t="s">
        <v>36</v>
      </c>
      <c r="H155" t="s">
        <v>394</v>
      </c>
      <c r="I155" t="str">
        <f>VLOOKUP(H155,REPORT!$B$1:$C$4,2,FALSE)</f>
        <v>Home &amp; Kitchen</v>
      </c>
      <c r="J155" t="str">
        <f t="shared" si="7"/>
        <v>Mismatch</v>
      </c>
      <c r="K155" s="19">
        <v>3</v>
      </c>
      <c r="L155" s="22">
        <v>63.52</v>
      </c>
      <c r="M155" s="23">
        <v>0.2</v>
      </c>
      <c r="N155" s="25">
        <v>152.44999999999999</v>
      </c>
      <c r="O155" t="s">
        <v>65</v>
      </c>
      <c r="P155" t="s">
        <v>61</v>
      </c>
      <c r="Q155" s="16">
        <v>45957</v>
      </c>
      <c r="R155">
        <v>2</v>
      </c>
      <c r="S155" t="str">
        <f t="shared" si="6"/>
        <v>YES</v>
      </c>
    </row>
    <row r="156" spans="1:19" x14ac:dyDescent="0.25">
      <c r="A156" t="s">
        <v>329</v>
      </c>
      <c r="B156" s="16">
        <v>45827</v>
      </c>
      <c r="C156" t="s">
        <v>330</v>
      </c>
      <c r="D156" t="s">
        <v>72</v>
      </c>
      <c r="E156" t="s">
        <v>18</v>
      </c>
      <c r="F156" t="s">
        <v>60</v>
      </c>
      <c r="G156" t="s">
        <v>64</v>
      </c>
      <c r="H156" t="s">
        <v>395</v>
      </c>
      <c r="I156" t="str">
        <f>VLOOKUP(H156,REPORT!$B$1:$C$4,2,FALSE)</f>
        <v>Fashion</v>
      </c>
      <c r="J156" t="str">
        <f t="shared" si="7"/>
        <v>Match</v>
      </c>
      <c r="K156" s="19">
        <v>2</v>
      </c>
      <c r="L156" s="22">
        <v>343.78</v>
      </c>
      <c r="M156" s="23">
        <v>1.5</v>
      </c>
      <c r="N156" s="25">
        <v>-343.78</v>
      </c>
      <c r="O156" t="s">
        <v>57</v>
      </c>
      <c r="P156" t="s">
        <v>81</v>
      </c>
      <c r="Q156" s="16">
        <v>45839</v>
      </c>
      <c r="R156">
        <v>1</v>
      </c>
      <c r="S156" t="str">
        <f t="shared" si="6"/>
        <v>YES</v>
      </c>
    </row>
    <row r="157" spans="1:19" x14ac:dyDescent="0.25">
      <c r="A157" t="s">
        <v>331</v>
      </c>
      <c r="B157" s="16">
        <v>45804</v>
      </c>
      <c r="C157" t="s">
        <v>42</v>
      </c>
      <c r="D157" t="s">
        <v>72</v>
      </c>
      <c r="E157" t="s">
        <v>91</v>
      </c>
      <c r="F157" t="s">
        <v>86</v>
      </c>
      <c r="G157" t="s">
        <v>46</v>
      </c>
      <c r="H157" t="s">
        <v>392</v>
      </c>
      <c r="I157" t="str">
        <f>VLOOKUP(H157,REPORT!$B$1:$C$4,2,FALSE)</f>
        <v>Electronics</v>
      </c>
      <c r="J157" t="str">
        <f t="shared" si="7"/>
        <v>Mismatch</v>
      </c>
      <c r="K157" s="19">
        <v>2</v>
      </c>
      <c r="L157" s="22">
        <v>329.63</v>
      </c>
      <c r="M157" s="23">
        <v>0.05</v>
      </c>
      <c r="N157" s="25">
        <v>626.29999999999995</v>
      </c>
      <c r="O157" t="s">
        <v>21</v>
      </c>
      <c r="P157" t="s">
        <v>61</v>
      </c>
      <c r="Q157" s="16">
        <v>45815</v>
      </c>
      <c r="R157">
        <v>5</v>
      </c>
      <c r="S157" t="str">
        <f t="shared" si="6"/>
        <v>YES</v>
      </c>
    </row>
    <row r="158" spans="1:19" x14ac:dyDescent="0.25">
      <c r="A158" t="s">
        <v>332</v>
      </c>
      <c r="B158" s="16">
        <v>45806</v>
      </c>
      <c r="C158" t="s">
        <v>83</v>
      </c>
      <c r="D158" t="s">
        <v>33</v>
      </c>
      <c r="E158" t="s">
        <v>34</v>
      </c>
      <c r="F158" t="s">
        <v>60</v>
      </c>
      <c r="G158" t="s">
        <v>46</v>
      </c>
      <c r="H158" t="s">
        <v>392</v>
      </c>
      <c r="I158" t="str">
        <f>VLOOKUP(H158,REPORT!$B$1:$C$4,2,FALSE)</f>
        <v>Electronics</v>
      </c>
      <c r="J158" t="str">
        <f t="shared" si="7"/>
        <v>Mismatch</v>
      </c>
      <c r="K158" s="19">
        <v>0</v>
      </c>
      <c r="L158" s="22">
        <v>288.3</v>
      </c>
      <c r="M158" s="23">
        <v>0</v>
      </c>
      <c r="N158" s="25">
        <v>0</v>
      </c>
      <c r="O158" t="s">
        <v>65</v>
      </c>
      <c r="P158" t="s">
        <v>69</v>
      </c>
      <c r="Q158" s="16">
        <v>45807</v>
      </c>
      <c r="R158">
        <v>3</v>
      </c>
      <c r="S158" t="str">
        <f t="shared" si="6"/>
        <v>YES</v>
      </c>
    </row>
    <row r="159" spans="1:19" x14ac:dyDescent="0.25">
      <c r="A159" t="s">
        <v>333</v>
      </c>
      <c r="B159" s="16">
        <v>45897</v>
      </c>
      <c r="C159" t="s">
        <v>334</v>
      </c>
      <c r="D159" t="s">
        <v>72</v>
      </c>
      <c r="E159" t="s">
        <v>18</v>
      </c>
      <c r="F159" t="s">
        <v>60</v>
      </c>
      <c r="G159" t="s">
        <v>20</v>
      </c>
      <c r="H159" t="s">
        <v>392</v>
      </c>
      <c r="I159" t="str">
        <f>VLOOKUP(H159,REPORT!$B$1:$C$4,2,FALSE)</f>
        <v>Electronics</v>
      </c>
      <c r="J159" t="str">
        <f t="shared" si="7"/>
        <v>Mismatch</v>
      </c>
      <c r="K159" s="19">
        <v>2</v>
      </c>
      <c r="L159" s="22">
        <v>172.04</v>
      </c>
      <c r="M159" s="23">
        <v>0.15</v>
      </c>
      <c r="N159" s="25">
        <v>292.47000000000003</v>
      </c>
      <c r="O159" t="s">
        <v>21</v>
      </c>
      <c r="P159" t="s">
        <v>48</v>
      </c>
      <c r="Q159" s="16">
        <v>45902</v>
      </c>
      <c r="R159">
        <v>3</v>
      </c>
      <c r="S159" t="str">
        <f t="shared" si="6"/>
        <v>YES</v>
      </c>
    </row>
    <row r="160" spans="1:19" x14ac:dyDescent="0.25">
      <c r="A160" t="s">
        <v>335</v>
      </c>
      <c r="B160" s="16">
        <v>45911</v>
      </c>
      <c r="C160" t="s">
        <v>115</v>
      </c>
      <c r="D160" t="s">
        <v>72</v>
      </c>
      <c r="E160" t="s">
        <v>91</v>
      </c>
      <c r="F160" t="s">
        <v>19</v>
      </c>
      <c r="G160" t="s">
        <v>64</v>
      </c>
      <c r="H160" t="s">
        <v>395</v>
      </c>
      <c r="I160" t="str">
        <f>VLOOKUP(H160,REPORT!$B$1:$C$4,2,FALSE)</f>
        <v>Fashion</v>
      </c>
      <c r="J160" t="str">
        <f t="shared" si="7"/>
        <v>Mismatch</v>
      </c>
      <c r="K160" s="19">
        <v>7</v>
      </c>
      <c r="L160" s="22">
        <v>262.49</v>
      </c>
      <c r="M160" s="23">
        <v>0</v>
      </c>
      <c r="N160" s="25">
        <v>1837.43</v>
      </c>
      <c r="O160" t="s">
        <v>57</v>
      </c>
      <c r="P160" t="s">
        <v>48</v>
      </c>
      <c r="Q160" s="16">
        <v>45984</v>
      </c>
      <c r="R160">
        <v>4</v>
      </c>
      <c r="S160" t="str">
        <f t="shared" si="6"/>
        <v>YES</v>
      </c>
    </row>
    <row r="161" spans="1:19" x14ac:dyDescent="0.25">
      <c r="A161" t="s">
        <v>336</v>
      </c>
      <c r="B161" s="16">
        <v>45662</v>
      </c>
      <c r="C161" t="s">
        <v>309</v>
      </c>
      <c r="D161" t="s">
        <v>39</v>
      </c>
      <c r="E161" t="s">
        <v>40</v>
      </c>
      <c r="F161" t="s">
        <v>19</v>
      </c>
      <c r="G161" t="s">
        <v>36</v>
      </c>
      <c r="H161" t="s">
        <v>394</v>
      </c>
      <c r="I161" t="str">
        <f>VLOOKUP(H161,REPORT!$B$1:$C$4,2,FALSE)</f>
        <v>Home &amp; Kitchen</v>
      </c>
      <c r="J161" t="str">
        <f t="shared" si="7"/>
        <v>Mismatch</v>
      </c>
      <c r="K161" s="19">
        <v>6</v>
      </c>
      <c r="L161" s="22">
        <v>157.94999999999999</v>
      </c>
      <c r="M161" s="23">
        <v>0.2</v>
      </c>
      <c r="N161" s="25">
        <v>758.16</v>
      </c>
      <c r="O161" t="s">
        <v>47</v>
      </c>
      <c r="P161" t="s">
        <v>61</v>
      </c>
      <c r="Q161" s="16">
        <v>45786</v>
      </c>
      <c r="R161">
        <v>1</v>
      </c>
      <c r="S161" t="str">
        <f t="shared" si="6"/>
        <v>YES</v>
      </c>
    </row>
    <row r="162" spans="1:19" x14ac:dyDescent="0.25">
      <c r="A162" t="s">
        <v>337</v>
      </c>
      <c r="B162" s="16">
        <v>45815</v>
      </c>
      <c r="C162" t="s">
        <v>16</v>
      </c>
      <c r="D162" t="s">
        <v>72</v>
      </c>
      <c r="E162" t="s">
        <v>44</v>
      </c>
      <c r="F162" t="s">
        <v>60</v>
      </c>
      <c r="G162" t="s">
        <v>64</v>
      </c>
      <c r="H162" t="s">
        <v>395</v>
      </c>
      <c r="I162" t="str">
        <f>VLOOKUP(H162,REPORT!$B$1:$C$4,2,FALSE)</f>
        <v>Fashion</v>
      </c>
      <c r="J162" t="str">
        <f t="shared" si="7"/>
        <v>Match</v>
      </c>
      <c r="K162" s="19">
        <v>9</v>
      </c>
      <c r="L162" s="22">
        <v>462.32</v>
      </c>
      <c r="M162" s="23">
        <v>0.1</v>
      </c>
      <c r="N162" s="25">
        <v>3744.79</v>
      </c>
      <c r="O162" t="s">
        <v>21</v>
      </c>
      <c r="P162" t="s">
        <v>61</v>
      </c>
      <c r="Q162" s="16">
        <v>45818</v>
      </c>
      <c r="S162" t="str">
        <f t="shared" ref="S162:S192" si="8">IF(B162&lt;=Q162,"YES","NO")</f>
        <v>YES</v>
      </c>
    </row>
    <row r="163" spans="1:19" x14ac:dyDescent="0.25">
      <c r="A163" t="s">
        <v>339</v>
      </c>
      <c r="B163" s="16">
        <v>45849</v>
      </c>
      <c r="C163" t="s">
        <v>197</v>
      </c>
      <c r="D163" t="s">
        <v>51</v>
      </c>
      <c r="E163" t="s">
        <v>52</v>
      </c>
      <c r="F163" t="s">
        <v>27</v>
      </c>
      <c r="G163" t="s">
        <v>64</v>
      </c>
      <c r="H163" t="s">
        <v>395</v>
      </c>
      <c r="I163" t="str">
        <f>VLOOKUP(H163,REPORT!$B$1:$C$4,2,FALSE)</f>
        <v>Fashion</v>
      </c>
      <c r="J163" t="str">
        <f t="shared" si="7"/>
        <v>Mismatch</v>
      </c>
      <c r="K163" s="19">
        <v>9</v>
      </c>
      <c r="L163" s="22">
        <v>457.27</v>
      </c>
      <c r="M163" s="23">
        <v>0.2</v>
      </c>
      <c r="N163" s="25">
        <v>3292.34</v>
      </c>
      <c r="O163" t="s">
        <v>65</v>
      </c>
      <c r="P163" t="s">
        <v>61</v>
      </c>
      <c r="Q163" s="16">
        <v>45974</v>
      </c>
      <c r="R163">
        <v>2</v>
      </c>
      <c r="S163" t="str">
        <f t="shared" si="8"/>
        <v>YES</v>
      </c>
    </row>
    <row r="164" spans="1:19" x14ac:dyDescent="0.25">
      <c r="A164" t="s">
        <v>341</v>
      </c>
      <c r="B164" s="16">
        <v>45902</v>
      </c>
      <c r="C164" t="s">
        <v>342</v>
      </c>
      <c r="D164" t="s">
        <v>72</v>
      </c>
      <c r="E164" t="s">
        <v>91</v>
      </c>
      <c r="F164" t="s">
        <v>19</v>
      </c>
      <c r="G164" t="s">
        <v>46</v>
      </c>
      <c r="H164" t="s">
        <v>392</v>
      </c>
      <c r="I164" t="str">
        <f>VLOOKUP(H164,REPORT!$B$1:$C$4,2,FALSE)</f>
        <v>Electronics</v>
      </c>
      <c r="J164" t="str">
        <f t="shared" si="7"/>
        <v>Match</v>
      </c>
      <c r="K164" s="19">
        <v>-2</v>
      </c>
      <c r="L164" s="22">
        <v>416.1</v>
      </c>
      <c r="M164" s="23">
        <v>0.2</v>
      </c>
      <c r="N164" s="25">
        <v>-665.76</v>
      </c>
      <c r="O164" t="s">
        <v>65</v>
      </c>
      <c r="P164" t="s">
        <v>81</v>
      </c>
      <c r="R164">
        <v>2</v>
      </c>
      <c r="S164" t="str">
        <f t="shared" si="8"/>
        <v>NO</v>
      </c>
    </row>
    <row r="165" spans="1:19" x14ac:dyDescent="0.25">
      <c r="A165" t="s">
        <v>343</v>
      </c>
      <c r="B165" s="16">
        <v>45878</v>
      </c>
      <c r="C165" t="s">
        <v>115</v>
      </c>
      <c r="D165" t="s">
        <v>55</v>
      </c>
      <c r="E165" t="s">
        <v>26</v>
      </c>
      <c r="F165" t="s">
        <v>60</v>
      </c>
      <c r="G165" t="s">
        <v>28</v>
      </c>
      <c r="H165" t="s">
        <v>393</v>
      </c>
      <c r="I165" t="str">
        <f>VLOOKUP(H165,REPORT!$B$1:$C$4,2,FALSE)</f>
        <v>Beauty</v>
      </c>
      <c r="J165" t="str">
        <f t="shared" si="7"/>
        <v>Mismatch</v>
      </c>
      <c r="K165" s="19">
        <v>8</v>
      </c>
      <c r="L165" s="22">
        <v>406.26</v>
      </c>
      <c r="M165" s="23">
        <v>0.15</v>
      </c>
      <c r="N165" s="25">
        <v>2762.57</v>
      </c>
      <c r="O165" t="s">
        <v>21</v>
      </c>
      <c r="P165" t="s">
        <v>69</v>
      </c>
      <c r="Q165" s="16">
        <v>45910</v>
      </c>
      <c r="R165">
        <v>2</v>
      </c>
      <c r="S165" t="str">
        <f t="shared" si="8"/>
        <v>YES</v>
      </c>
    </row>
    <row r="166" spans="1:19" x14ac:dyDescent="0.25">
      <c r="A166" t="s">
        <v>344</v>
      </c>
      <c r="B166" s="16">
        <v>45860</v>
      </c>
      <c r="C166" t="s">
        <v>345</v>
      </c>
      <c r="D166" t="s">
        <v>39</v>
      </c>
      <c r="E166" t="s">
        <v>40</v>
      </c>
      <c r="F166" t="s">
        <v>19</v>
      </c>
      <c r="G166" t="s">
        <v>46</v>
      </c>
      <c r="H166" t="s">
        <v>392</v>
      </c>
      <c r="I166" t="str">
        <f>VLOOKUP(H166,REPORT!$B$1:$C$4,2,FALSE)</f>
        <v>Electronics</v>
      </c>
      <c r="J166" t="str">
        <f t="shared" si="7"/>
        <v>Match</v>
      </c>
      <c r="K166" s="19">
        <v>4</v>
      </c>
      <c r="L166" s="22">
        <v>293.37</v>
      </c>
      <c r="M166" s="23">
        <v>0</v>
      </c>
      <c r="N166" s="25">
        <v>1173.48</v>
      </c>
      <c r="O166" t="s">
        <v>65</v>
      </c>
      <c r="P166" t="s">
        <v>61</v>
      </c>
      <c r="Q166" s="16">
        <v>45865</v>
      </c>
      <c r="R166">
        <v>4</v>
      </c>
      <c r="S166" t="str">
        <f t="shared" si="8"/>
        <v>YES</v>
      </c>
    </row>
    <row r="167" spans="1:19" x14ac:dyDescent="0.25">
      <c r="A167" t="s">
        <v>346</v>
      </c>
      <c r="B167" s="16">
        <v>45658</v>
      </c>
      <c r="C167" t="s">
        <v>193</v>
      </c>
      <c r="D167" t="s">
        <v>51</v>
      </c>
      <c r="E167" t="s">
        <v>52</v>
      </c>
      <c r="F167" t="s">
        <v>27</v>
      </c>
      <c r="G167" t="s">
        <v>20</v>
      </c>
      <c r="H167" t="s">
        <v>392</v>
      </c>
      <c r="I167" t="str">
        <f>VLOOKUP(H167,REPORT!$B$1:$C$4,2,FALSE)</f>
        <v>Electronics</v>
      </c>
      <c r="J167" t="str">
        <f t="shared" si="7"/>
        <v>Mismatch</v>
      </c>
      <c r="K167" s="19">
        <v>3</v>
      </c>
      <c r="L167" s="22">
        <v>385.26</v>
      </c>
      <c r="M167" s="23">
        <v>0.15</v>
      </c>
      <c r="N167" s="25">
        <v>982.41</v>
      </c>
      <c r="O167" t="s">
        <v>57</v>
      </c>
      <c r="P167" t="s">
        <v>81</v>
      </c>
      <c r="Q167" s="16">
        <v>45811</v>
      </c>
      <c r="R167">
        <v>3</v>
      </c>
      <c r="S167" t="str">
        <f t="shared" si="8"/>
        <v>YES</v>
      </c>
    </row>
    <row r="168" spans="1:19" x14ac:dyDescent="0.25">
      <c r="A168" t="s">
        <v>347</v>
      </c>
      <c r="B168" s="16">
        <v>45933</v>
      </c>
      <c r="C168" t="s">
        <v>348</v>
      </c>
      <c r="D168" t="s">
        <v>72</v>
      </c>
      <c r="E168" t="s">
        <v>91</v>
      </c>
      <c r="F168" t="s">
        <v>19</v>
      </c>
      <c r="G168" t="s">
        <v>36</v>
      </c>
      <c r="H168" t="s">
        <v>394</v>
      </c>
      <c r="I168" t="str">
        <f>VLOOKUP(H168,REPORT!$B$1:$C$4,2,FALSE)</f>
        <v>Home &amp; Kitchen</v>
      </c>
      <c r="J168" t="str">
        <f t="shared" si="7"/>
        <v>Mismatch</v>
      </c>
      <c r="K168" s="19">
        <v>2</v>
      </c>
      <c r="L168" s="22">
        <v>97.45</v>
      </c>
      <c r="M168" s="23">
        <v>0.2</v>
      </c>
      <c r="N168" s="25">
        <v>155.91999999999999</v>
      </c>
      <c r="O168" t="s">
        <v>21</v>
      </c>
      <c r="P168" t="s">
        <v>61</v>
      </c>
      <c r="Q168" s="16">
        <v>45737</v>
      </c>
      <c r="R168">
        <v>4</v>
      </c>
      <c r="S168" t="str">
        <f t="shared" si="8"/>
        <v>NO</v>
      </c>
    </row>
    <row r="169" spans="1:19" x14ac:dyDescent="0.25">
      <c r="A169" t="s">
        <v>349</v>
      </c>
      <c r="B169" s="16">
        <v>45816</v>
      </c>
      <c r="C169" t="s">
        <v>350</v>
      </c>
      <c r="D169" t="s">
        <v>33</v>
      </c>
      <c r="E169" t="s">
        <v>34</v>
      </c>
      <c r="F169" t="s">
        <v>60</v>
      </c>
      <c r="G169" t="s">
        <v>64</v>
      </c>
      <c r="H169" t="s">
        <v>395</v>
      </c>
      <c r="I169" t="str">
        <f>VLOOKUP(H169,REPORT!$B$1:$C$4,2,FALSE)</f>
        <v>Fashion</v>
      </c>
      <c r="J169" t="str">
        <f t="shared" si="7"/>
        <v>Match</v>
      </c>
      <c r="K169" s="19">
        <v>4</v>
      </c>
      <c r="L169" s="22">
        <v>131.28</v>
      </c>
      <c r="M169" s="23">
        <v>0.1</v>
      </c>
      <c r="N169" s="25">
        <v>472.61</v>
      </c>
      <c r="O169" t="s">
        <v>21</v>
      </c>
      <c r="P169" t="s">
        <v>61</v>
      </c>
      <c r="Q169" s="16">
        <v>45884</v>
      </c>
      <c r="R169">
        <v>2</v>
      </c>
      <c r="S169" t="str">
        <f t="shared" si="8"/>
        <v>YES</v>
      </c>
    </row>
    <row r="170" spans="1:19" x14ac:dyDescent="0.25">
      <c r="A170" t="s">
        <v>351</v>
      </c>
      <c r="B170" s="16">
        <v>45763</v>
      </c>
      <c r="C170" t="s">
        <v>386</v>
      </c>
      <c r="D170" t="s">
        <v>51</v>
      </c>
      <c r="E170" t="s">
        <v>52</v>
      </c>
      <c r="F170" t="s">
        <v>19</v>
      </c>
      <c r="G170" t="s">
        <v>46</v>
      </c>
      <c r="H170" t="s">
        <v>392</v>
      </c>
      <c r="I170" t="str">
        <f>VLOOKUP(H170,REPORT!$B$1:$C$4,2,FALSE)</f>
        <v>Electronics</v>
      </c>
      <c r="J170" t="str">
        <f t="shared" si="7"/>
        <v>Match</v>
      </c>
      <c r="K170" s="19">
        <v>10</v>
      </c>
      <c r="L170" s="22">
        <v>26.45</v>
      </c>
      <c r="M170" s="23">
        <v>0.2</v>
      </c>
      <c r="N170" s="25">
        <v>211.6</v>
      </c>
      <c r="O170" t="s">
        <v>57</v>
      </c>
      <c r="P170" t="s">
        <v>81</v>
      </c>
      <c r="Q170" s="16">
        <v>45765</v>
      </c>
      <c r="R170">
        <v>8</v>
      </c>
      <c r="S170" t="str">
        <f t="shared" si="8"/>
        <v>YES</v>
      </c>
    </row>
    <row r="171" spans="1:19" x14ac:dyDescent="0.25">
      <c r="A171" t="s">
        <v>352</v>
      </c>
      <c r="B171" s="16">
        <v>45729</v>
      </c>
      <c r="C171" t="s">
        <v>353</v>
      </c>
      <c r="D171" t="s">
        <v>39</v>
      </c>
      <c r="E171" t="s">
        <v>40</v>
      </c>
      <c r="F171" t="s">
        <v>19</v>
      </c>
      <c r="G171" t="s">
        <v>36</v>
      </c>
      <c r="H171" t="s">
        <v>394</v>
      </c>
      <c r="I171" t="str">
        <f>VLOOKUP(H171,REPORT!$B$1:$C$4,2,FALSE)</f>
        <v>Home &amp; Kitchen</v>
      </c>
      <c r="J171" t="str">
        <f t="shared" si="7"/>
        <v>Mismatch</v>
      </c>
      <c r="K171" s="19">
        <v>4</v>
      </c>
      <c r="L171" s="22">
        <v>409.74</v>
      </c>
      <c r="M171" s="23">
        <v>0.2</v>
      </c>
      <c r="N171" s="25">
        <v>1311.17</v>
      </c>
      <c r="O171" t="s">
        <v>21</v>
      </c>
      <c r="P171" t="s">
        <v>30</v>
      </c>
      <c r="Q171" s="16">
        <v>45738</v>
      </c>
      <c r="R171">
        <v>3</v>
      </c>
      <c r="S171" t="str">
        <f t="shared" si="8"/>
        <v>YES</v>
      </c>
    </row>
    <row r="172" spans="1:19" x14ac:dyDescent="0.25">
      <c r="A172" t="s">
        <v>354</v>
      </c>
      <c r="B172" s="16">
        <v>45798</v>
      </c>
      <c r="C172" t="s">
        <v>356</v>
      </c>
      <c r="D172" t="s">
        <v>55</v>
      </c>
      <c r="E172" t="s">
        <v>26</v>
      </c>
      <c r="F172" t="s">
        <v>19</v>
      </c>
      <c r="G172" t="s">
        <v>28</v>
      </c>
      <c r="H172" t="s">
        <v>393</v>
      </c>
      <c r="I172" t="str">
        <f>VLOOKUP(H172,REPORT!$B$1:$C$4,2,FALSE)</f>
        <v>Beauty</v>
      </c>
      <c r="J172" t="str">
        <f t="shared" si="7"/>
        <v>Mismatch</v>
      </c>
      <c r="K172" s="19">
        <v>10</v>
      </c>
      <c r="L172" s="22">
        <v>441.06</v>
      </c>
      <c r="M172" s="23">
        <v>0.05</v>
      </c>
      <c r="N172" s="25">
        <v>4190.07</v>
      </c>
      <c r="O172" t="s">
        <v>47</v>
      </c>
      <c r="P172" t="s">
        <v>30</v>
      </c>
      <c r="Q172" s="16">
        <v>45799</v>
      </c>
      <c r="R172">
        <v>4</v>
      </c>
      <c r="S172" t="str">
        <f t="shared" si="8"/>
        <v>YES</v>
      </c>
    </row>
    <row r="173" spans="1:19" x14ac:dyDescent="0.25">
      <c r="A173" t="s">
        <v>357</v>
      </c>
      <c r="B173" s="16">
        <v>46014</v>
      </c>
      <c r="C173" t="s">
        <v>88</v>
      </c>
      <c r="D173" t="s">
        <v>55</v>
      </c>
      <c r="E173" t="s">
        <v>26</v>
      </c>
      <c r="F173" t="s">
        <v>27</v>
      </c>
      <c r="G173" t="s">
        <v>64</v>
      </c>
      <c r="H173" t="s">
        <v>395</v>
      </c>
      <c r="I173" t="str">
        <f>VLOOKUP(H173,REPORT!$B$1:$C$4,2,FALSE)</f>
        <v>Fashion</v>
      </c>
      <c r="J173" t="str">
        <f t="shared" si="7"/>
        <v>Mismatch</v>
      </c>
      <c r="K173" s="19">
        <v>3</v>
      </c>
      <c r="L173" s="22">
        <v>156.94999999999999</v>
      </c>
      <c r="M173" s="23">
        <v>0.05</v>
      </c>
      <c r="N173" s="25">
        <v>447.31</v>
      </c>
      <c r="O173" t="s">
        <v>21</v>
      </c>
      <c r="P173" t="s">
        <v>48</v>
      </c>
      <c r="Q173" s="16">
        <v>46021</v>
      </c>
      <c r="R173">
        <v>5</v>
      </c>
      <c r="S173" t="str">
        <f t="shared" si="8"/>
        <v>YES</v>
      </c>
    </row>
    <row r="174" spans="1:19" x14ac:dyDescent="0.25">
      <c r="A174" t="s">
        <v>358</v>
      </c>
      <c r="B174" s="16">
        <v>45945</v>
      </c>
      <c r="C174" t="s">
        <v>83</v>
      </c>
      <c r="D174" t="s">
        <v>33</v>
      </c>
      <c r="E174" t="s">
        <v>34</v>
      </c>
      <c r="F174" t="s">
        <v>19</v>
      </c>
      <c r="G174" t="s">
        <v>64</v>
      </c>
      <c r="H174" t="s">
        <v>395</v>
      </c>
      <c r="I174" t="str">
        <f>VLOOKUP(H174,REPORT!$B$1:$C$4,2,FALSE)</f>
        <v>Fashion</v>
      </c>
      <c r="J174" t="str">
        <f t="shared" si="7"/>
        <v>Mismatch</v>
      </c>
      <c r="K174" s="19">
        <v>9</v>
      </c>
      <c r="L174" s="22">
        <v>269.7</v>
      </c>
      <c r="M174" s="23">
        <v>0.15</v>
      </c>
      <c r="N174" s="25">
        <v>2063.1999999999998</v>
      </c>
      <c r="O174" t="s">
        <v>47</v>
      </c>
      <c r="P174" t="s">
        <v>61</v>
      </c>
      <c r="Q174" s="16">
        <v>45952</v>
      </c>
      <c r="R174">
        <v>2</v>
      </c>
      <c r="S174" t="str">
        <f t="shared" si="8"/>
        <v>YES</v>
      </c>
    </row>
    <row r="175" spans="1:19" x14ac:dyDescent="0.25">
      <c r="A175" t="s">
        <v>359</v>
      </c>
      <c r="B175" s="16">
        <v>45698</v>
      </c>
      <c r="C175" t="s">
        <v>360</v>
      </c>
      <c r="D175" t="s">
        <v>72</v>
      </c>
      <c r="E175" t="s">
        <v>44</v>
      </c>
      <c r="F175" t="s">
        <v>19</v>
      </c>
      <c r="G175" t="s">
        <v>20</v>
      </c>
      <c r="H175" t="s">
        <v>392</v>
      </c>
      <c r="I175" t="str">
        <f>VLOOKUP(H175,REPORT!$B$1:$C$4,2,FALSE)</f>
        <v>Electronics</v>
      </c>
      <c r="J175" t="str">
        <f t="shared" si="7"/>
        <v>Match</v>
      </c>
      <c r="K175" s="19">
        <v>1</v>
      </c>
      <c r="L175" s="22">
        <v>141.55000000000001</v>
      </c>
      <c r="M175" s="23">
        <v>0.2</v>
      </c>
      <c r="N175" s="25">
        <v>113.24</v>
      </c>
      <c r="O175" t="s">
        <v>21</v>
      </c>
      <c r="P175" t="s">
        <v>69</v>
      </c>
      <c r="Q175" s="16">
        <v>45944</v>
      </c>
      <c r="R175">
        <v>5</v>
      </c>
      <c r="S175" t="str">
        <f t="shared" si="8"/>
        <v>YES</v>
      </c>
    </row>
    <row r="176" spans="1:19" x14ac:dyDescent="0.25">
      <c r="A176" t="s">
        <v>361</v>
      </c>
      <c r="B176" s="16">
        <v>45828</v>
      </c>
      <c r="C176" t="s">
        <v>390</v>
      </c>
      <c r="D176" t="s">
        <v>51</v>
      </c>
      <c r="E176" t="s">
        <v>52</v>
      </c>
      <c r="F176" t="s">
        <v>60</v>
      </c>
      <c r="G176" t="s">
        <v>46</v>
      </c>
      <c r="H176" t="s">
        <v>392</v>
      </c>
      <c r="I176" t="str">
        <f>VLOOKUP(H176,REPORT!$B$1:$C$4,2,FALSE)</f>
        <v>Electronics</v>
      </c>
      <c r="J176" t="str">
        <f t="shared" si="7"/>
        <v>Mismatch</v>
      </c>
      <c r="K176" s="19">
        <v>4</v>
      </c>
      <c r="L176" s="22">
        <v>469.21</v>
      </c>
      <c r="M176" s="23">
        <v>0</v>
      </c>
      <c r="N176" s="25">
        <v>1876.84</v>
      </c>
      <c r="O176" t="s">
        <v>47</v>
      </c>
      <c r="P176" t="s">
        <v>61</v>
      </c>
      <c r="Q176" s="16">
        <v>45833</v>
      </c>
      <c r="R176">
        <v>4</v>
      </c>
      <c r="S176" t="str">
        <f t="shared" si="8"/>
        <v>YES</v>
      </c>
    </row>
    <row r="177" spans="1:19" x14ac:dyDescent="0.25">
      <c r="A177" t="s">
        <v>363</v>
      </c>
      <c r="B177" s="16">
        <v>45822</v>
      </c>
      <c r="C177" t="s">
        <v>364</v>
      </c>
      <c r="D177" t="s">
        <v>33</v>
      </c>
      <c r="E177" t="s">
        <v>34</v>
      </c>
      <c r="F177" t="s">
        <v>60</v>
      </c>
      <c r="G177" t="s">
        <v>36</v>
      </c>
      <c r="H177" t="s">
        <v>394</v>
      </c>
      <c r="I177" t="str">
        <f>VLOOKUP(H177,REPORT!$B$1:$C$4,2,FALSE)</f>
        <v>Home &amp; Kitchen</v>
      </c>
      <c r="J177" t="str">
        <f t="shared" si="7"/>
        <v>Mismatch</v>
      </c>
      <c r="K177" s="19">
        <v>7</v>
      </c>
      <c r="L177" s="22">
        <v>238.46</v>
      </c>
      <c r="M177" s="23">
        <v>0.1</v>
      </c>
      <c r="N177" s="25">
        <v>1502.3</v>
      </c>
      <c r="O177" t="s">
        <v>57</v>
      </c>
      <c r="P177" t="s">
        <v>81</v>
      </c>
      <c r="Q177" s="16">
        <v>45819</v>
      </c>
      <c r="R177">
        <v>3</v>
      </c>
      <c r="S177" t="str">
        <f t="shared" si="8"/>
        <v>NO</v>
      </c>
    </row>
    <row r="178" spans="1:19" x14ac:dyDescent="0.25">
      <c r="A178" t="s">
        <v>365</v>
      </c>
      <c r="B178" s="16">
        <v>45821</v>
      </c>
      <c r="C178" t="s">
        <v>317</v>
      </c>
      <c r="D178" t="s">
        <v>72</v>
      </c>
      <c r="E178" t="s">
        <v>18</v>
      </c>
      <c r="F178" t="s">
        <v>19</v>
      </c>
      <c r="G178" t="s">
        <v>36</v>
      </c>
      <c r="H178" t="s">
        <v>394</v>
      </c>
      <c r="I178" t="str">
        <f>VLOOKUP(H178,REPORT!$B$1:$C$4,2,FALSE)</f>
        <v>Home &amp; Kitchen</v>
      </c>
      <c r="J178" t="str">
        <f t="shared" si="7"/>
        <v>Mismatch</v>
      </c>
      <c r="K178" s="19">
        <v>6</v>
      </c>
      <c r="L178" s="22">
        <v>212.83</v>
      </c>
      <c r="M178" s="23">
        <v>1.5</v>
      </c>
      <c r="N178" s="25">
        <v>-638.49</v>
      </c>
      <c r="O178" t="s">
        <v>65</v>
      </c>
      <c r="P178" t="s">
        <v>69</v>
      </c>
      <c r="Q178" s="16">
        <v>45825</v>
      </c>
      <c r="R178">
        <v>2</v>
      </c>
      <c r="S178" t="str">
        <f t="shared" si="8"/>
        <v>YES</v>
      </c>
    </row>
    <row r="179" spans="1:19" x14ac:dyDescent="0.25">
      <c r="A179" t="s">
        <v>366</v>
      </c>
      <c r="B179" s="16">
        <v>45736</v>
      </c>
      <c r="C179" t="s">
        <v>281</v>
      </c>
      <c r="D179" t="s">
        <v>39</v>
      </c>
      <c r="E179" t="s">
        <v>40</v>
      </c>
      <c r="F179" t="s">
        <v>27</v>
      </c>
      <c r="G179" t="s">
        <v>36</v>
      </c>
      <c r="H179" t="s">
        <v>394</v>
      </c>
      <c r="I179" t="str">
        <f>VLOOKUP(H179,REPORT!$B$1:$C$4,2,FALSE)</f>
        <v>Home &amp; Kitchen</v>
      </c>
      <c r="J179" t="str">
        <f t="shared" si="7"/>
        <v>Mismatch</v>
      </c>
      <c r="K179" s="19">
        <v>4</v>
      </c>
      <c r="L179" s="22">
        <v>196.12</v>
      </c>
      <c r="M179" s="23">
        <v>0.05</v>
      </c>
      <c r="N179" s="25">
        <v>745.26</v>
      </c>
      <c r="O179" t="s">
        <v>57</v>
      </c>
      <c r="P179" t="s">
        <v>30</v>
      </c>
      <c r="Q179" s="16">
        <v>45740</v>
      </c>
      <c r="R179">
        <v>4</v>
      </c>
      <c r="S179" t="str">
        <f t="shared" si="8"/>
        <v>YES</v>
      </c>
    </row>
    <row r="180" spans="1:19" x14ac:dyDescent="0.25">
      <c r="A180" t="s">
        <v>367</v>
      </c>
      <c r="B180" s="16">
        <v>45744</v>
      </c>
      <c r="C180" t="s">
        <v>197</v>
      </c>
      <c r="D180" t="s">
        <v>72</v>
      </c>
      <c r="E180" t="s">
        <v>91</v>
      </c>
      <c r="F180" t="s">
        <v>27</v>
      </c>
      <c r="G180" t="s">
        <v>28</v>
      </c>
      <c r="H180" t="s">
        <v>393</v>
      </c>
      <c r="I180" t="str">
        <f>VLOOKUP(H180,REPORT!$B$1:$C$4,2,FALSE)</f>
        <v>Beauty</v>
      </c>
      <c r="J180" t="str">
        <f t="shared" si="7"/>
        <v>Match</v>
      </c>
      <c r="K180" s="19">
        <v>8</v>
      </c>
      <c r="L180" s="22">
        <v>100.18</v>
      </c>
      <c r="M180" s="23">
        <v>0.2</v>
      </c>
      <c r="N180" s="25">
        <v>641.15</v>
      </c>
      <c r="O180" t="s">
        <v>21</v>
      </c>
      <c r="P180" t="s">
        <v>30</v>
      </c>
      <c r="Q180" s="16">
        <v>45747</v>
      </c>
      <c r="R180">
        <v>1</v>
      </c>
      <c r="S180" t="str">
        <f t="shared" si="8"/>
        <v>YES</v>
      </c>
    </row>
    <row r="181" spans="1:19" x14ac:dyDescent="0.25">
      <c r="A181" t="s">
        <v>368</v>
      </c>
      <c r="B181" s="16">
        <v>45994</v>
      </c>
      <c r="C181" t="s">
        <v>148</v>
      </c>
      <c r="D181" t="s">
        <v>55</v>
      </c>
      <c r="E181" t="s">
        <v>26</v>
      </c>
      <c r="F181" t="s">
        <v>19</v>
      </c>
      <c r="G181" t="s">
        <v>20</v>
      </c>
      <c r="H181" t="s">
        <v>392</v>
      </c>
      <c r="I181" t="str">
        <f>VLOOKUP(H181,REPORT!$B$1:$C$4,2,FALSE)</f>
        <v>Electronics</v>
      </c>
      <c r="J181" t="str">
        <f t="shared" si="7"/>
        <v>Match</v>
      </c>
      <c r="K181" s="19">
        <v>2</v>
      </c>
      <c r="L181" s="22">
        <v>356.51</v>
      </c>
      <c r="M181" s="23">
        <v>0</v>
      </c>
      <c r="N181" s="25">
        <v>713.02</v>
      </c>
      <c r="O181" t="s">
        <v>65</v>
      </c>
      <c r="P181" t="s">
        <v>30</v>
      </c>
      <c r="Q181" s="16">
        <v>45742</v>
      </c>
      <c r="R181">
        <v>2</v>
      </c>
      <c r="S181" t="str">
        <f t="shared" si="8"/>
        <v>NO</v>
      </c>
    </row>
    <row r="182" spans="1:19" x14ac:dyDescent="0.25">
      <c r="A182" t="s">
        <v>369</v>
      </c>
      <c r="B182" s="16">
        <v>45907</v>
      </c>
      <c r="C182" t="s">
        <v>193</v>
      </c>
      <c r="D182" t="s">
        <v>33</v>
      </c>
      <c r="E182" t="s">
        <v>34</v>
      </c>
      <c r="F182" t="s">
        <v>19</v>
      </c>
      <c r="G182" t="s">
        <v>46</v>
      </c>
      <c r="H182" t="s">
        <v>392</v>
      </c>
      <c r="I182" t="str">
        <f>VLOOKUP(H182,REPORT!$B$1:$C$4,2,FALSE)</f>
        <v>Electronics</v>
      </c>
      <c r="J182" t="str">
        <f t="shared" si="7"/>
        <v>Match</v>
      </c>
      <c r="K182" s="19">
        <v>-2</v>
      </c>
      <c r="L182" s="22">
        <v>280.31</v>
      </c>
      <c r="M182" s="23">
        <v>0</v>
      </c>
      <c r="N182" s="25">
        <v>-560.62</v>
      </c>
      <c r="O182" t="s">
        <v>21</v>
      </c>
      <c r="P182" t="s">
        <v>69</v>
      </c>
      <c r="Q182" s="16">
        <v>45908</v>
      </c>
      <c r="S182" t="str">
        <f t="shared" si="8"/>
        <v>YES</v>
      </c>
    </row>
    <row r="183" spans="1:19" x14ac:dyDescent="0.25">
      <c r="A183" t="s">
        <v>370</v>
      </c>
      <c r="B183" s="16">
        <v>45707</v>
      </c>
      <c r="C183" t="s">
        <v>270</v>
      </c>
      <c r="D183" t="s">
        <v>39</v>
      </c>
      <c r="E183" t="s">
        <v>40</v>
      </c>
      <c r="F183" t="s">
        <v>27</v>
      </c>
      <c r="G183" t="s">
        <v>20</v>
      </c>
      <c r="H183" t="s">
        <v>392</v>
      </c>
      <c r="I183" t="str">
        <f>VLOOKUP(H183,REPORT!$B$1:$C$4,2,FALSE)</f>
        <v>Electronics</v>
      </c>
      <c r="J183" t="str">
        <f t="shared" si="7"/>
        <v>Mismatch</v>
      </c>
      <c r="K183" s="19">
        <v>4</v>
      </c>
      <c r="L183" s="22">
        <v>104.05</v>
      </c>
      <c r="M183" s="23">
        <v>0.2</v>
      </c>
      <c r="N183" s="25">
        <v>332.96</v>
      </c>
      <c r="O183" t="s">
        <v>57</v>
      </c>
      <c r="P183" t="s">
        <v>61</v>
      </c>
      <c r="Q183" s="16">
        <v>45716</v>
      </c>
      <c r="R183">
        <v>3</v>
      </c>
      <c r="S183" t="str">
        <f t="shared" si="8"/>
        <v>YES</v>
      </c>
    </row>
    <row r="184" spans="1:19" x14ac:dyDescent="0.25">
      <c r="A184" t="s">
        <v>371</v>
      </c>
      <c r="B184" s="16">
        <v>45782</v>
      </c>
      <c r="C184" t="s">
        <v>372</v>
      </c>
      <c r="D184" t="s">
        <v>72</v>
      </c>
      <c r="E184" t="s">
        <v>91</v>
      </c>
      <c r="F184" t="s">
        <v>86</v>
      </c>
      <c r="G184" t="s">
        <v>20</v>
      </c>
      <c r="H184" t="s">
        <v>392</v>
      </c>
      <c r="I184" t="str">
        <f>VLOOKUP(H184,REPORT!$B$1:$C$4,2,FALSE)</f>
        <v>Electronics</v>
      </c>
      <c r="J184" t="str">
        <f t="shared" si="7"/>
        <v>Mismatch</v>
      </c>
      <c r="K184" s="19">
        <v>0</v>
      </c>
      <c r="L184" s="22">
        <v>345.18</v>
      </c>
      <c r="M184" s="23">
        <v>0</v>
      </c>
      <c r="N184" s="25">
        <v>0</v>
      </c>
      <c r="O184" t="s">
        <v>57</v>
      </c>
      <c r="P184" t="s">
        <v>69</v>
      </c>
      <c r="Q184" s="16">
        <v>45794</v>
      </c>
      <c r="R184">
        <v>1</v>
      </c>
      <c r="S184" t="str">
        <f t="shared" si="8"/>
        <v>YES</v>
      </c>
    </row>
    <row r="185" spans="1:19" x14ac:dyDescent="0.25">
      <c r="A185" t="s">
        <v>373</v>
      </c>
      <c r="B185" s="16">
        <v>46017</v>
      </c>
      <c r="C185" t="s">
        <v>374</v>
      </c>
      <c r="D185" t="s">
        <v>72</v>
      </c>
      <c r="E185" t="s">
        <v>18</v>
      </c>
      <c r="F185" t="s">
        <v>19</v>
      </c>
      <c r="G185" t="s">
        <v>46</v>
      </c>
      <c r="H185" t="s">
        <v>392</v>
      </c>
      <c r="I185" t="str">
        <f>VLOOKUP(H185,REPORT!$B$1:$C$4,2,FALSE)</f>
        <v>Electronics</v>
      </c>
      <c r="J185" t="str">
        <f t="shared" si="7"/>
        <v>Match</v>
      </c>
      <c r="K185" s="19">
        <v>8</v>
      </c>
      <c r="L185" s="22">
        <v>424.21</v>
      </c>
      <c r="M185" s="23">
        <v>0.1</v>
      </c>
      <c r="N185" s="25">
        <v>3054.31</v>
      </c>
      <c r="O185" t="s">
        <v>21</v>
      </c>
      <c r="P185" t="s">
        <v>61</v>
      </c>
      <c r="Q185" s="16">
        <v>46020</v>
      </c>
      <c r="R185">
        <v>5</v>
      </c>
      <c r="S185" t="str">
        <f t="shared" si="8"/>
        <v>YES</v>
      </c>
    </row>
    <row r="186" spans="1:19" x14ac:dyDescent="0.25">
      <c r="A186" t="s">
        <v>375</v>
      </c>
      <c r="B186" s="16">
        <v>45871</v>
      </c>
      <c r="C186" t="s">
        <v>133</v>
      </c>
      <c r="D186" t="s">
        <v>39</v>
      </c>
      <c r="E186" t="s">
        <v>40</v>
      </c>
      <c r="F186" t="s">
        <v>19</v>
      </c>
      <c r="G186" t="s">
        <v>36</v>
      </c>
      <c r="H186" t="s">
        <v>394</v>
      </c>
      <c r="I186" t="str">
        <f>VLOOKUP(H186,REPORT!$B$1:$C$4,2,FALSE)</f>
        <v>Home &amp; Kitchen</v>
      </c>
      <c r="J186" t="str">
        <f t="shared" si="7"/>
        <v>Mismatch</v>
      </c>
      <c r="K186" s="19">
        <v>9</v>
      </c>
      <c r="L186" s="22">
        <v>286.12</v>
      </c>
      <c r="M186" s="23">
        <v>0</v>
      </c>
      <c r="N186" s="25">
        <v>2575.08</v>
      </c>
      <c r="O186" t="s">
        <v>65</v>
      </c>
      <c r="P186" t="s">
        <v>61</v>
      </c>
      <c r="Q186" s="16">
        <v>45707</v>
      </c>
      <c r="R186">
        <v>2</v>
      </c>
      <c r="S186" t="str">
        <f t="shared" si="8"/>
        <v>NO</v>
      </c>
    </row>
    <row r="187" spans="1:19" x14ac:dyDescent="0.25">
      <c r="A187" t="s">
        <v>377</v>
      </c>
      <c r="B187" s="16">
        <v>45741</v>
      </c>
      <c r="C187" t="s">
        <v>378</v>
      </c>
      <c r="D187" t="s">
        <v>39</v>
      </c>
      <c r="E187" t="s">
        <v>40</v>
      </c>
      <c r="F187" t="s">
        <v>27</v>
      </c>
      <c r="G187" t="s">
        <v>20</v>
      </c>
      <c r="H187" t="s">
        <v>392</v>
      </c>
      <c r="I187" t="str">
        <f>VLOOKUP(H187,REPORT!$B$1:$C$4,2,FALSE)</f>
        <v>Electronics</v>
      </c>
      <c r="J187" t="str">
        <f t="shared" si="7"/>
        <v>Mismatch</v>
      </c>
      <c r="K187" s="19">
        <v>10</v>
      </c>
      <c r="L187" s="22">
        <v>418.98</v>
      </c>
      <c r="M187" s="23">
        <v>0.15</v>
      </c>
      <c r="N187" s="25">
        <v>3561.33</v>
      </c>
      <c r="O187" t="s">
        <v>47</v>
      </c>
      <c r="P187" t="s">
        <v>61</v>
      </c>
      <c r="Q187" s="16">
        <v>45751</v>
      </c>
      <c r="R187">
        <v>5</v>
      </c>
      <c r="S187" t="str">
        <f t="shared" si="8"/>
        <v>YES</v>
      </c>
    </row>
    <row r="188" spans="1:19" x14ac:dyDescent="0.25">
      <c r="A188" t="s">
        <v>379</v>
      </c>
      <c r="B188" s="16">
        <v>45685</v>
      </c>
      <c r="C188" t="s">
        <v>139</v>
      </c>
      <c r="D188" t="s">
        <v>55</v>
      </c>
      <c r="E188" t="s">
        <v>26</v>
      </c>
      <c r="F188" t="s">
        <v>19</v>
      </c>
      <c r="G188" t="s">
        <v>64</v>
      </c>
      <c r="H188" t="s">
        <v>395</v>
      </c>
      <c r="I188" t="str">
        <f>VLOOKUP(H188,REPORT!$B$1:$C$4,2,FALSE)</f>
        <v>Fashion</v>
      </c>
      <c r="J188" t="str">
        <f t="shared" si="7"/>
        <v>Mismatch</v>
      </c>
      <c r="K188" s="19">
        <v>4</v>
      </c>
      <c r="L188" s="22">
        <v>420.95</v>
      </c>
      <c r="M188" s="23">
        <v>0.1</v>
      </c>
      <c r="N188" s="25">
        <v>1515.42</v>
      </c>
      <c r="O188" t="s">
        <v>21</v>
      </c>
      <c r="P188" t="s">
        <v>30</v>
      </c>
      <c r="Q188" s="16">
        <v>45687</v>
      </c>
      <c r="R188">
        <v>5</v>
      </c>
      <c r="S188" t="str">
        <f t="shared" si="8"/>
        <v>YES</v>
      </c>
    </row>
    <row r="189" spans="1:19" x14ac:dyDescent="0.25">
      <c r="A189" t="s">
        <v>380</v>
      </c>
      <c r="B189" s="16">
        <v>45774</v>
      </c>
      <c r="C189" t="s">
        <v>83</v>
      </c>
      <c r="D189" t="s">
        <v>72</v>
      </c>
      <c r="E189" t="s">
        <v>91</v>
      </c>
      <c r="F189" t="s">
        <v>60</v>
      </c>
      <c r="G189" t="s">
        <v>28</v>
      </c>
      <c r="H189" t="s">
        <v>393</v>
      </c>
      <c r="I189" t="str">
        <f>VLOOKUP(H189,REPORT!$B$1:$C$4,2,FALSE)</f>
        <v>Beauty</v>
      </c>
      <c r="J189" t="str">
        <f t="shared" si="7"/>
        <v>Mismatch</v>
      </c>
      <c r="K189" s="19">
        <v>7</v>
      </c>
      <c r="L189" s="22">
        <v>221.61</v>
      </c>
      <c r="M189" s="23">
        <v>0.2</v>
      </c>
      <c r="N189" s="25">
        <v>1241.02</v>
      </c>
      <c r="O189" t="s">
        <v>21</v>
      </c>
      <c r="P189" t="s">
        <v>61</v>
      </c>
      <c r="Q189" s="16">
        <v>45780</v>
      </c>
      <c r="R189">
        <v>4</v>
      </c>
      <c r="S189" t="str">
        <f t="shared" si="8"/>
        <v>YES</v>
      </c>
    </row>
    <row r="190" spans="1:19" x14ac:dyDescent="0.25">
      <c r="A190" t="s">
        <v>381</v>
      </c>
      <c r="B190" s="16">
        <v>45852</v>
      </c>
      <c r="C190" t="s">
        <v>207</v>
      </c>
      <c r="D190" t="s">
        <v>72</v>
      </c>
      <c r="E190" t="s">
        <v>44</v>
      </c>
      <c r="F190" t="s">
        <v>86</v>
      </c>
      <c r="G190" t="s">
        <v>20</v>
      </c>
      <c r="H190" t="s">
        <v>392</v>
      </c>
      <c r="I190" t="str">
        <f>VLOOKUP(H190,REPORT!$B$1:$C$4,2,FALSE)</f>
        <v>Electronics</v>
      </c>
      <c r="J190" t="str">
        <f t="shared" si="7"/>
        <v>Mismatch</v>
      </c>
      <c r="K190" s="19">
        <v>7</v>
      </c>
      <c r="L190" s="22">
        <v>165.17</v>
      </c>
      <c r="M190" s="23">
        <v>0</v>
      </c>
      <c r="N190" s="25">
        <v>1156.19</v>
      </c>
      <c r="O190" t="s">
        <v>21</v>
      </c>
      <c r="P190" t="s">
        <v>48</v>
      </c>
      <c r="Q190" s="16">
        <v>45864</v>
      </c>
      <c r="R190">
        <v>1</v>
      </c>
      <c r="S190" t="str">
        <f t="shared" si="8"/>
        <v>YES</v>
      </c>
    </row>
    <row r="191" spans="1:19" x14ac:dyDescent="0.25">
      <c r="A191" t="s">
        <v>382</v>
      </c>
      <c r="B191" s="16">
        <v>45908</v>
      </c>
      <c r="C191" t="s">
        <v>383</v>
      </c>
      <c r="D191" t="s">
        <v>72</v>
      </c>
      <c r="E191" t="s">
        <v>44</v>
      </c>
      <c r="F191" t="s">
        <v>60</v>
      </c>
      <c r="G191" t="s">
        <v>28</v>
      </c>
      <c r="H191" t="s">
        <v>393</v>
      </c>
      <c r="I191" t="str">
        <f>VLOOKUP(H191,REPORT!$B$1:$C$4,2,FALSE)</f>
        <v>Beauty</v>
      </c>
      <c r="J191" t="str">
        <f t="shared" si="7"/>
        <v>Mismatch</v>
      </c>
      <c r="K191" s="19">
        <v>9</v>
      </c>
      <c r="L191" s="22">
        <v>261.10000000000002</v>
      </c>
      <c r="M191" s="23">
        <v>0</v>
      </c>
      <c r="N191" s="25">
        <v>2349.9</v>
      </c>
      <c r="O191" t="s">
        <v>21</v>
      </c>
      <c r="P191" t="s">
        <v>69</v>
      </c>
      <c r="R191">
        <v>1</v>
      </c>
      <c r="S191" t="str">
        <f t="shared" si="8"/>
        <v>NO</v>
      </c>
    </row>
    <row r="192" spans="1:19" x14ac:dyDescent="0.25">
      <c r="A192" t="s">
        <v>384</v>
      </c>
      <c r="B192" s="16">
        <v>45664</v>
      </c>
      <c r="C192" t="s">
        <v>54</v>
      </c>
      <c r="D192" t="s">
        <v>72</v>
      </c>
      <c r="E192" t="s">
        <v>18</v>
      </c>
      <c r="F192" t="s">
        <v>86</v>
      </c>
      <c r="G192" t="s">
        <v>64</v>
      </c>
      <c r="H192" t="s">
        <v>395</v>
      </c>
      <c r="I192" t="str">
        <f>VLOOKUP(H192,REPORT!$B$1:$C$4,2,FALSE)</f>
        <v>Fashion</v>
      </c>
      <c r="J192" t="str">
        <f t="shared" si="7"/>
        <v>Mismatch</v>
      </c>
      <c r="K192" s="19">
        <v>7</v>
      </c>
      <c r="L192" s="22">
        <v>391.79</v>
      </c>
      <c r="M192" s="23">
        <v>0.2</v>
      </c>
      <c r="N192" s="25">
        <v>2194.02</v>
      </c>
      <c r="O192" t="s">
        <v>21</v>
      </c>
      <c r="P192" t="s">
        <v>61</v>
      </c>
      <c r="Q192" s="16">
        <v>45669</v>
      </c>
      <c r="R192">
        <v>2</v>
      </c>
      <c r="S192" t="str">
        <f t="shared" si="8"/>
        <v>YES</v>
      </c>
    </row>
  </sheetData>
  <conditionalFormatting sqref="K1:K192">
    <cfRule type="cellIs" dxfId="11" priority="5" operator="lessThanOrEqual">
      <formula>0</formula>
    </cfRule>
  </conditionalFormatting>
  <conditionalFormatting sqref="M2:M192">
    <cfRule type="cellIs" dxfId="10" priority="4" operator="greaterThan">
      <formula>1</formula>
    </cfRule>
  </conditionalFormatting>
  <conditionalFormatting sqref="N2:N192">
    <cfRule type="cellIs" dxfId="9" priority="3" operator="lessThanOrEqual">
      <formula>0</formula>
    </cfRule>
  </conditionalFormatting>
  <conditionalFormatting sqref="R2:R192">
    <cfRule type="cellIs" dxfId="8" priority="2" operator="greaterThan">
      <formula>5</formula>
    </cfRule>
  </conditionalFormatting>
  <conditionalFormatting sqref="A1:S192">
    <cfRule type="containsBlanks" dxfId="7" priority="1">
      <formula>LEN(TRIM(A1))=0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4"/>
  <sheetViews>
    <sheetView tabSelected="1" workbookViewId="0">
      <selection activeCell="B20" sqref="B20"/>
    </sheetView>
  </sheetViews>
  <sheetFormatPr defaultRowHeight="15" x14ac:dyDescent="0.25"/>
  <cols>
    <col min="1" max="1" width="15.42578125" bestFit="1" customWidth="1"/>
    <col min="3" max="3" width="15.42578125" bestFit="1" customWidth="1"/>
  </cols>
  <sheetData>
    <row r="1" spans="2:3" x14ac:dyDescent="0.25">
      <c r="B1" t="s">
        <v>392</v>
      </c>
      <c r="C1" t="s">
        <v>19</v>
      </c>
    </row>
    <row r="2" spans="2:3" x14ac:dyDescent="0.25">
      <c r="B2" t="s">
        <v>393</v>
      </c>
      <c r="C2" t="s">
        <v>27</v>
      </c>
    </row>
    <row r="3" spans="2:3" x14ac:dyDescent="0.25">
      <c r="B3" t="s">
        <v>395</v>
      </c>
      <c r="C3" t="s">
        <v>60</v>
      </c>
    </row>
    <row r="4" spans="2:3" x14ac:dyDescent="0.25">
      <c r="B4" t="s">
        <v>394</v>
      </c>
      <c r="C4" t="s">
        <v>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Cleaned </vt:lpstr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2026-07-15T18:45:49Z</dcterms:created>
  <dcterms:modified xsi:type="dcterms:W3CDTF">2026-09-13T17:48:51Z</dcterms:modified>
</cp:coreProperties>
</file>